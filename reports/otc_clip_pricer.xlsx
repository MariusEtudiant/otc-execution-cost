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r" sheetId="1" state="visible" r:id="rId1"/>
    <sheet xmlns:r="http://schemas.openxmlformats.org/officeDocument/2006/relationships" name="Quote grid" sheetId="2" state="visible" r:id="rId2"/>
    <sheet xmlns:r="http://schemas.openxmlformats.org/officeDocument/2006/relationships" name="Cost of waiting" sheetId="3" state="visible" r:id="rId3"/>
    <sheet xmlns:r="http://schemas.openxmlformats.org/officeDocument/2006/relationships" name="Sweep costs" sheetId="4" state="visible" r:id="rId4"/>
    <sheet xmlns:r="http://schemas.openxmlformats.org/officeDocument/2006/relationships" name="Liquidity clock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B6A66"/>
      <sz val="9"/>
    </font>
    <font>
      <b val="1"/>
      <sz val="14"/>
    </font>
    <font/>
  </fonts>
  <fills count="5">
    <fill>
      <patternFill/>
    </fill>
    <fill>
      <patternFill patternType="gray125"/>
    </fill>
    <fill>
      <patternFill patternType="solid">
        <fgColor rgb="00EEF4FC"/>
      </patternFill>
    </fill>
    <fill>
      <patternFill patternType="solid">
        <fgColor rgb="00FFF4CC"/>
      </patternFill>
    </fill>
    <fill>
      <patternFill patternType="solid">
        <fgColor rgb="00E8F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9" fontId="0" fillId="3" borderId="0" pivotButton="0" quotePrefix="0" xfId="0"/>
    <xf numFmtId="2" fontId="0" fillId="0" borderId="0" pivotButton="0" quotePrefix="0" xfId="0"/>
    <xf numFmtId="2" fontId="1" fillId="4" borderId="0" pivotButton="0" quotePrefix="0" xfId="0"/>
    <xf numFmtId="4" fontId="1" fillId="4" borderId="0" pivotButton="0" quotePrefix="0" xfId="0"/>
    <xf numFmtId="3" fontId="1" fillId="4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70" customWidth="1" min="3" max="3"/>
  </cols>
  <sheetData>
    <row r="1">
      <c r="A1" s="1" t="inlineStr">
        <is>
          <t>OTC clip pricer: BTC and ETH</t>
        </is>
      </c>
    </row>
    <row r="2">
      <c r="A2" s="2" t="inlineStr">
        <is>
          <t>Yellow cells are inputs. Everything else is a formula on the data sheets.</t>
        </is>
      </c>
    </row>
    <row r="4">
      <c r="A4" s="3" t="inlineStr">
        <is>
          <t>Inputs</t>
        </is>
      </c>
    </row>
    <row r="5">
      <c r="A5" t="inlineStr">
        <is>
          <t>Asset</t>
        </is>
      </c>
      <c r="B5" s="4" t="inlineStr">
        <is>
          <t>BTC</t>
        </is>
      </c>
      <c r="C5" s="2" t="inlineStr">
        <is>
          <t>BTC or ETH</t>
        </is>
      </c>
    </row>
    <row r="6">
      <c r="A6" t="inlineStr">
        <is>
          <t>Client side</t>
        </is>
      </c>
      <c r="B6" s="4" t="inlineStr">
        <is>
          <t>Client buys</t>
        </is>
      </c>
      <c r="C6" s="2" t="inlineStr">
        <is>
          <t>Client buys: the desk sells and hedges by buying</t>
        </is>
      </c>
    </row>
    <row r="7">
      <c r="A7" t="inlineStr">
        <is>
          <t>Clip size (M$)</t>
        </is>
      </c>
      <c r="B7" s="4" t="n">
        <v>5</v>
      </c>
      <c r="C7" s="2" t="inlineStr">
        <is>
          <t>0.1 to 10 M$ (sizes outside are clipped)</t>
        </is>
      </c>
    </row>
    <row r="8">
      <c r="A8" t="inlineStr">
        <is>
          <t>Hour of the request (UTC)</t>
        </is>
      </c>
      <c r="B8" s="4" t="n">
        <v>9</v>
      </c>
      <c r="C8" s="2" t="inlineStr">
        <is>
          <t>0 to 23</t>
        </is>
      </c>
    </row>
    <row r="9">
      <c r="A9" t="inlineStr">
        <is>
          <t>Day</t>
        </is>
      </c>
      <c r="B9" s="4" t="inlineStr">
        <is>
          <t>Weekday</t>
        </is>
      </c>
      <c r="C9" s="2" t="inlineStr">
        <is>
          <t>Weekday or Weekend</t>
        </is>
      </c>
    </row>
    <row r="10">
      <c r="A10" t="inlineStr">
        <is>
          <t>Reference mid ($)</t>
        </is>
      </c>
      <c r="B10" s="5">
        <f>IF($B$5="BTC",83360.83,2506.28)</f>
        <v/>
      </c>
      <c r="C10" s="2" t="inlineStr">
        <is>
          <t>Last mid recorded; overwrite with the live price</t>
        </is>
      </c>
    </row>
    <row r="11">
      <c r="A11" t="inlineStr">
        <is>
          <t>Desk margin (bps)</t>
        </is>
      </c>
      <c r="B11" s="4" t="n">
        <v>2</v>
      </c>
      <c r="C11" s="2" t="inlineStr">
        <is>
          <t>Commercial margin added on top of the hedge cost</t>
        </is>
      </c>
    </row>
    <row r="12">
      <c r="A12" t="inlineStr">
        <is>
          <t>Participation rate if worked</t>
        </is>
      </c>
      <c r="B12" s="6" t="n">
        <v>0.1</v>
      </c>
      <c r="C12" s="2" t="inlineStr">
        <is>
          <t>Share of market volume the desk would take to work the hedge</t>
        </is>
      </c>
    </row>
    <row r="13">
      <c r="A13" t="inlineStr">
        <is>
          <t>Confidence (z)</t>
        </is>
      </c>
      <c r="B13" s="4" t="n">
        <v>1.65</v>
      </c>
      <c r="C13" s="2" t="inlineStr">
        <is>
          <t>1.65 = one-sided 95% on the inventory risk</t>
        </is>
      </c>
    </row>
    <row r="15">
      <c r="A15" s="3" t="inlineStr">
        <is>
          <t>Calculation</t>
        </is>
      </c>
    </row>
    <row r="16">
      <c r="A16" t="inlineStr">
        <is>
          <t>Measured window for this hour</t>
        </is>
      </c>
      <c r="B16">
        <f>IF(ISNUMBER(MATCH($B$5&amp;"|ALL3|"&amp;IF(AND($B$8&gt;=7,$B$8&lt;12),"London morning",IF(AND($B$8&gt;=12,$B$8&lt;16),"London + New York",IF(AND($B$8&gt;=16,$B$8&lt;21),"New York afternoon","All measured"))),'Sweep costs'!$A$2:$A$25,0)),IF(AND($B$8&gt;=7,$B$8&lt;12),"London morning",IF(AND($B$8&gt;=12,$B$8&lt;16),"London + New York",IF(AND($B$8&gt;=16,$B$8&lt;21),"New York afternoon","All measured"))),"All measured")</f>
        <v/>
      </c>
      <c r="C16" s="2" t="inlineStr">
        <is>
          <t>Falls back to all measured minutes if this window was not collected</t>
        </is>
      </c>
    </row>
    <row r="17">
      <c r="A17" t="inlineStr">
        <is>
          <t>Sweep curve used</t>
        </is>
      </c>
      <c r="B17">
        <f>$B$5&amp;"|ALL3|"&amp;B16</f>
        <v/>
      </c>
      <c r="C17" s="2" t="inlineStr">
        <is>
          <t>Combined book of Binance, Coinbase and Kraken</t>
        </is>
      </c>
    </row>
    <row r="18">
      <c r="A18" t="inlineStr">
        <is>
          <t>Size bracket (index)</t>
        </is>
      </c>
      <c r="B18">
        <f>MIN(MATCH(MAX(0.1,MIN(10,$B$7)),'Sweep costs'!$F$1:$K$1,1),5)</f>
        <v/>
      </c>
      <c r="C18" s="2" t="inlineStr">
        <is>
          <t>Position of the clip between the measured sizes</t>
        </is>
      </c>
    </row>
    <row r="19">
      <c r="A19" t="inlineStr">
        <is>
          <t>Sweep cost, combined books (bps)</t>
        </is>
      </c>
      <c r="B19" s="7">
        <f>INDEX('Sweep costs'!$F$2:$K$25,MATCH(B17,'Sweep costs'!$A$2:$A$25,0),B18)+(MAX(0.1,MIN(10,$B$7))-INDEX('Sweep costs'!$F$1:$K$1,1,B18))*(INDEX('Sweep costs'!$F$2:$K$25,MATCH(B17,'Sweep costs'!$A$2:$A$25,0),B18+1)-INDEX('Sweep costs'!$F$2:$K$25,MATCH(B17,'Sweep costs'!$A$2:$A$25,0),B18))/(INDEX('Sweep costs'!$F$1:$K$1,1,B18+1)-INDEX('Sweep costs'!$F$1:$K$1,1,B18))</f>
        <v/>
      </c>
      <c r="C19" s="2" t="inlineStr">
        <is>
          <t>Linear interpolation between measured sizes</t>
        </is>
      </c>
    </row>
    <row r="20">
      <c r="A20" t="inlineStr">
        <is>
          <t>Sweep cost, best single venue (bps)</t>
        </is>
      </c>
      <c r="B20" s="7">
        <f>MIN(INDEX('Sweep costs'!$F$2:$K$25,MATCH($B$5&amp;"|binance|"&amp;B16,'Sweep costs'!$A$2:$A$25,0),B18)+(MAX(0.1,MIN(10,$B$7))-INDEX('Sweep costs'!$F$1:$K$1,1,B18))*(INDEX('Sweep costs'!$F$2:$K$25,MATCH($B$5&amp;"|binance|"&amp;B16,'Sweep costs'!$A$2:$A$25,0),B18+1)-INDEX('Sweep costs'!$F$2:$K$25,MATCH($B$5&amp;"|binance|"&amp;B16,'Sweep costs'!$A$2:$A$25,0),B18))/(INDEX('Sweep costs'!$F$1:$K$1,1,B18+1)-INDEX('Sweep costs'!$F$1:$K$1,1,B18)),INDEX('Sweep costs'!$F$2:$K$25,MATCH($B$5&amp;"|coinbase|"&amp;B16,'Sweep costs'!$A$2:$A$25,0),B18)+(MAX(0.1,MIN(10,$B$7))-INDEX('Sweep costs'!$F$1:$K$1,1,B18))*(INDEX('Sweep costs'!$F$2:$K$25,MATCH($B$5&amp;"|coinbase|"&amp;B16,'Sweep costs'!$A$2:$A$25,0),B18+1)-INDEX('Sweep costs'!$F$2:$K$25,MATCH($B$5&amp;"|coinbase|"&amp;B16,'Sweep costs'!$A$2:$A$25,0),B18))/(INDEX('Sweep costs'!$F$1:$K$1,1,B18+1)-INDEX('Sweep costs'!$F$1:$K$1,1,B18)),INDEX('Sweep costs'!$F$2:$K$25,MATCH($B$5&amp;"|kraken|"&amp;B16,'Sweep costs'!$A$2:$A$25,0),B18)+(MAX(0.1,MIN(10,$B$7))-INDEX('Sweep costs'!$F$1:$K$1,1,B18))*(INDEX('Sweep costs'!$F$2:$K$25,MATCH($B$5&amp;"|kraken|"&amp;B16,'Sweep costs'!$A$2:$A$25,0),B18+1)-INDEX('Sweep costs'!$F$2:$K$25,MATCH($B$5&amp;"|kraken|"&amp;B16,'Sweep costs'!$A$2:$A$25,0),B18))/(INDEX('Sweep costs'!$F$1:$K$1,1,B18+1)-INDEX('Sweep costs'!$F$1:$K$1,1,B18)))</f>
        <v/>
      </c>
      <c r="C20" s="2" t="inlineStr">
        <is>
          <t>Cheapest of the three venues on its own</t>
        </is>
      </c>
    </row>
    <row r="21">
      <c r="A21" t="inlineStr">
        <is>
          <t>Volume at this hour (M$ per minute)</t>
        </is>
      </c>
      <c r="B21" s="7">
        <f>INDEX('Liquidity clock'!$E$2:$E$97,MATCH($B$5&amp;"|"&amp;$B$9&amp;"|"&amp;$B$8,'Liquidity clock'!$A$2:$A$97,0))</f>
        <v/>
      </c>
      <c r="C21" s="2" t="inlineStr">
        <is>
          <t>Binance + Coinbase, six-month median</t>
        </is>
      </c>
    </row>
    <row r="22">
      <c r="A22" t="inlineStr">
        <is>
          <t>Volatility at this hour (bps per minute)</t>
        </is>
      </c>
      <c r="B22" s="7">
        <f>INDEX('Liquidity clock'!$F$2:$F$97,MATCH($B$5&amp;"|"&amp;$B$9&amp;"|"&amp;$B$8,'Liquidity clock'!$A$2:$A$97,0))</f>
        <v/>
      </c>
      <c r="C22" s="2" t="inlineStr">
        <is>
          <t>Six-month median</t>
        </is>
      </c>
    </row>
    <row r="23">
      <c r="A23" t="inlineStr">
        <is>
          <t>Minutes to work the clip</t>
        </is>
      </c>
      <c r="B23" s="7">
        <f>MAX(0.1,MIN(10,$B$7))/($B$12*B21)</f>
        <v/>
      </c>
      <c r="C23" s="2" t="inlineStr">
        <is>
          <t>Clip / (participation x volume)</t>
        </is>
      </c>
    </row>
    <row r="24">
      <c r="A24" t="inlineStr">
        <is>
          <t>Risk of working it (bps)</t>
        </is>
      </c>
      <c r="B24" s="7">
        <f>$B$13*B22*SQRT(B23/3)</f>
        <v/>
      </c>
      <c r="C24" s="2" t="inlineStr">
        <is>
          <t>z x sigma x sqrt(T / 3): linear liquidation, Almgren-Chriss</t>
        </is>
      </c>
    </row>
    <row r="25">
      <c r="A25" t="inlineStr">
        <is>
          <t>Hedge cost retained (bps)</t>
        </is>
      </c>
      <c r="B25" s="7">
        <f>MIN(B19,B24)</f>
        <v/>
      </c>
      <c r="C25" s="2" t="inlineStr">
        <is>
          <t>Cheaper of sweeping now or the risk of working it</t>
        </is>
      </c>
    </row>
    <row r="26">
      <c r="A26" t="inlineStr">
        <is>
          <t>Hedge method</t>
        </is>
      </c>
      <c r="B26">
        <f>IF(B19&lt;=B24,"Sweep the combined books now","Work the order")</f>
        <v/>
      </c>
      <c r="C26" s="2" t="inlineStr"/>
    </row>
    <row r="28">
      <c r="A28" s="3" t="inlineStr">
        <is>
          <t>Quote</t>
        </is>
      </c>
    </row>
    <row r="29">
      <c r="A29" s="3" t="inlineStr">
        <is>
          <t>Quoted spread to the client (bps)</t>
        </is>
      </c>
      <c r="B29" s="8">
        <f>B25+$B$11</f>
        <v/>
      </c>
    </row>
    <row r="30">
      <c r="A30" s="3" t="inlineStr">
        <is>
          <t>Client price ($)</t>
        </is>
      </c>
      <c r="B30" s="9">
        <f>IF($B$6="Client buys",$B$10*(1+B29/10000),$B$10*(1-B29/10000))</f>
        <v/>
      </c>
    </row>
    <row r="31">
      <c r="A31" s="3" t="inlineStr">
        <is>
          <t>Expected desk P&amp;L on the clip ($)</t>
        </is>
      </c>
      <c r="B31" s="10">
        <f>$B$11/10000*MAX(0.1,MIN(10,$B$7))*1000000</f>
        <v/>
      </c>
    </row>
    <row r="32">
      <c r="A32" s="3" t="inlineStr">
        <is>
          <t>Saving vs hedging on the best single venue ($)</t>
        </is>
      </c>
      <c r="B32" s="10">
        <f>(B20-B19)/10000*MAX(0.1,MIN(10,$B$7))*1000000</f>
        <v/>
      </c>
    </row>
    <row r="34">
      <c r="A34" s="2" t="inlineStr">
        <is>
          <t>Sweep costs come from minute snapshots of the displayed books (no hidden liquidity, no refill, no fees). Read them as the cost of an aggressive hedge, not a guaranteed fill.</t>
        </is>
      </c>
    </row>
  </sheetData>
  <dataValidations count="4">
    <dataValidation sqref="B5" showDropDown="0" showInputMessage="0" showErrorMessage="0" allowBlank="0" type="list">
      <formula1>"BTC,ETH"</formula1>
    </dataValidation>
    <dataValidation sqref="B6" showDropDown="0" showInputMessage="0" showErrorMessage="0" allowBlank="0" type="list">
      <formula1>"Client buys,Client sells"</formula1>
    </dataValidation>
    <dataValidation sqref="B9" showDropDown="0" showInputMessage="0" showErrorMessage="0" allowBlank="0" type="list">
      <formula1>"Weekday,Weekend"</formula1>
    </dataValidation>
    <dataValidation sqref="B8" showDropDown="0" showInputMessage="0" showErrorMessage="0" allowBlank="0" type="whole" operator="between">
      <formula1>0</formula1>
      <formula2>23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Quote grid: spread to quote for an immediate hedge on the combined books (bps)</t>
        </is>
      </c>
    </row>
    <row r="2">
      <c r="A2" s="2" t="inlineStr">
        <is>
          <t>Spread = measured sweep cost + desk margin (Pricer!B11). Asset follows the Pricer.</t>
        </is>
      </c>
    </row>
    <row r="4">
      <c r="A4" s="3" t="inlineStr">
        <is>
          <t>Clip (M$)</t>
        </is>
      </c>
      <c r="B4" s="11" t="inlineStr">
        <is>
          <t>All measured</t>
        </is>
      </c>
      <c r="C4" s="11" t="inlineStr">
        <is>
          <t>London morning</t>
        </is>
      </c>
      <c r="D4" s="11" t="inlineStr">
        <is>
          <t>London + New York</t>
        </is>
      </c>
      <c r="E4" s="11" t="inlineStr">
        <is>
          <t>New York afternoon</t>
        </is>
      </c>
    </row>
    <row r="5">
      <c r="A5" s="3" t="n">
        <v>0.1</v>
      </c>
      <c r="B5" s="12">
        <f>IFERROR(INDEX('Sweep costs'!$F$2:$K$25,MATCH(Pricer!$B$5&amp;"|ALL3|"&amp;B$4,'Sweep costs'!$A$2:$A$25,0),MATCH($A5,'Sweep costs'!$F$1:$K$1,0))+Pricer!$B$11,"not measured")</f>
        <v/>
      </c>
      <c r="C5" s="12">
        <f>IFERROR(INDEX('Sweep costs'!$F$2:$K$25,MATCH(Pricer!$B$5&amp;"|ALL3|"&amp;C$4,'Sweep costs'!$A$2:$A$25,0),MATCH($A5,'Sweep costs'!$F$1:$K$1,0))+Pricer!$B$11,"not measured")</f>
        <v/>
      </c>
      <c r="D5" s="12">
        <f>IFERROR(INDEX('Sweep costs'!$F$2:$K$25,MATCH(Pricer!$B$5&amp;"|ALL3|"&amp;D$4,'Sweep costs'!$A$2:$A$25,0),MATCH($A5,'Sweep costs'!$F$1:$K$1,0))+Pricer!$B$11,"not measured")</f>
        <v/>
      </c>
      <c r="E5" s="12">
        <f>IFERROR(INDEX('Sweep costs'!$F$2:$K$25,MATCH(Pricer!$B$5&amp;"|ALL3|"&amp;E$4,'Sweep costs'!$A$2:$A$25,0),MATCH($A5,'Sweep costs'!$F$1:$K$1,0))+Pricer!$B$11,"not measured")</f>
        <v/>
      </c>
    </row>
    <row r="6">
      <c r="A6" s="3" t="n">
        <v>0.5</v>
      </c>
      <c r="B6" s="12">
        <f>IFERROR(INDEX('Sweep costs'!$F$2:$K$25,MATCH(Pricer!$B$5&amp;"|ALL3|"&amp;B$4,'Sweep costs'!$A$2:$A$25,0),MATCH($A6,'Sweep costs'!$F$1:$K$1,0))+Pricer!$B$11,"not measured")</f>
        <v/>
      </c>
      <c r="C6" s="12">
        <f>IFERROR(INDEX('Sweep costs'!$F$2:$K$25,MATCH(Pricer!$B$5&amp;"|ALL3|"&amp;C$4,'Sweep costs'!$A$2:$A$25,0),MATCH($A6,'Sweep costs'!$F$1:$K$1,0))+Pricer!$B$11,"not measured")</f>
        <v/>
      </c>
      <c r="D6" s="12">
        <f>IFERROR(INDEX('Sweep costs'!$F$2:$K$25,MATCH(Pricer!$B$5&amp;"|ALL3|"&amp;D$4,'Sweep costs'!$A$2:$A$25,0),MATCH($A6,'Sweep costs'!$F$1:$K$1,0))+Pricer!$B$11,"not measured")</f>
        <v/>
      </c>
      <c r="E6" s="12">
        <f>IFERROR(INDEX('Sweep costs'!$F$2:$K$25,MATCH(Pricer!$B$5&amp;"|ALL3|"&amp;E$4,'Sweep costs'!$A$2:$A$25,0),MATCH($A6,'Sweep costs'!$F$1:$K$1,0))+Pricer!$B$11,"not measured")</f>
        <v/>
      </c>
    </row>
    <row r="7">
      <c r="A7" s="3" t="n">
        <v>1</v>
      </c>
      <c r="B7" s="12">
        <f>IFERROR(INDEX('Sweep costs'!$F$2:$K$25,MATCH(Pricer!$B$5&amp;"|ALL3|"&amp;B$4,'Sweep costs'!$A$2:$A$25,0),MATCH($A7,'Sweep costs'!$F$1:$K$1,0))+Pricer!$B$11,"not measured")</f>
        <v/>
      </c>
      <c r="C7" s="12">
        <f>IFERROR(INDEX('Sweep costs'!$F$2:$K$25,MATCH(Pricer!$B$5&amp;"|ALL3|"&amp;C$4,'Sweep costs'!$A$2:$A$25,0),MATCH($A7,'Sweep costs'!$F$1:$K$1,0))+Pricer!$B$11,"not measured")</f>
        <v/>
      </c>
      <c r="D7" s="12">
        <f>IFERROR(INDEX('Sweep costs'!$F$2:$K$25,MATCH(Pricer!$B$5&amp;"|ALL3|"&amp;D$4,'Sweep costs'!$A$2:$A$25,0),MATCH($A7,'Sweep costs'!$F$1:$K$1,0))+Pricer!$B$11,"not measured")</f>
        <v/>
      </c>
      <c r="E7" s="12">
        <f>IFERROR(INDEX('Sweep costs'!$F$2:$K$25,MATCH(Pricer!$B$5&amp;"|ALL3|"&amp;E$4,'Sweep costs'!$A$2:$A$25,0),MATCH($A7,'Sweep costs'!$F$1:$K$1,0))+Pricer!$B$11,"not measured")</f>
        <v/>
      </c>
    </row>
    <row r="8">
      <c r="A8" s="3" t="n">
        <v>2</v>
      </c>
      <c r="B8" s="12">
        <f>IFERROR(INDEX('Sweep costs'!$F$2:$K$25,MATCH(Pricer!$B$5&amp;"|ALL3|"&amp;B$4,'Sweep costs'!$A$2:$A$25,0),MATCH($A8,'Sweep costs'!$F$1:$K$1,0))+Pricer!$B$11,"not measured")</f>
        <v/>
      </c>
      <c r="C8" s="12">
        <f>IFERROR(INDEX('Sweep costs'!$F$2:$K$25,MATCH(Pricer!$B$5&amp;"|ALL3|"&amp;C$4,'Sweep costs'!$A$2:$A$25,0),MATCH($A8,'Sweep costs'!$F$1:$K$1,0))+Pricer!$B$11,"not measured")</f>
        <v/>
      </c>
      <c r="D8" s="12">
        <f>IFERROR(INDEX('Sweep costs'!$F$2:$K$25,MATCH(Pricer!$B$5&amp;"|ALL3|"&amp;D$4,'Sweep costs'!$A$2:$A$25,0),MATCH($A8,'Sweep costs'!$F$1:$K$1,0))+Pricer!$B$11,"not measured")</f>
        <v/>
      </c>
      <c r="E8" s="12">
        <f>IFERROR(INDEX('Sweep costs'!$F$2:$K$25,MATCH(Pricer!$B$5&amp;"|ALL3|"&amp;E$4,'Sweep costs'!$A$2:$A$25,0),MATCH($A8,'Sweep costs'!$F$1:$K$1,0))+Pricer!$B$11,"not measured")</f>
        <v/>
      </c>
    </row>
    <row r="9">
      <c r="A9" s="3" t="n">
        <v>5</v>
      </c>
      <c r="B9" s="12">
        <f>IFERROR(INDEX('Sweep costs'!$F$2:$K$25,MATCH(Pricer!$B$5&amp;"|ALL3|"&amp;B$4,'Sweep costs'!$A$2:$A$25,0),MATCH($A9,'Sweep costs'!$F$1:$K$1,0))+Pricer!$B$11,"not measured")</f>
        <v/>
      </c>
      <c r="C9" s="12">
        <f>IFERROR(INDEX('Sweep costs'!$F$2:$K$25,MATCH(Pricer!$B$5&amp;"|ALL3|"&amp;C$4,'Sweep costs'!$A$2:$A$25,0),MATCH($A9,'Sweep costs'!$F$1:$K$1,0))+Pricer!$B$11,"not measured")</f>
        <v/>
      </c>
      <c r="D9" s="12">
        <f>IFERROR(INDEX('Sweep costs'!$F$2:$K$25,MATCH(Pricer!$B$5&amp;"|ALL3|"&amp;D$4,'Sweep costs'!$A$2:$A$25,0),MATCH($A9,'Sweep costs'!$F$1:$K$1,0))+Pricer!$B$11,"not measured")</f>
        <v/>
      </c>
      <c r="E9" s="12">
        <f>IFERROR(INDEX('Sweep costs'!$F$2:$K$25,MATCH(Pricer!$B$5&amp;"|ALL3|"&amp;E$4,'Sweep costs'!$A$2:$A$25,0),MATCH($A9,'Sweep costs'!$F$1:$K$1,0))+Pricer!$B$11,"not measured")</f>
        <v/>
      </c>
    </row>
    <row r="10">
      <c r="A10" s="3" t="n">
        <v>10</v>
      </c>
      <c r="B10" s="12">
        <f>IFERROR(INDEX('Sweep costs'!$F$2:$K$25,MATCH(Pricer!$B$5&amp;"|ALL3|"&amp;B$4,'Sweep costs'!$A$2:$A$25,0),MATCH($A10,'Sweep costs'!$F$1:$K$1,0))+Pricer!$B$11,"not measured")</f>
        <v/>
      </c>
      <c r="C10" s="12">
        <f>IFERROR(INDEX('Sweep costs'!$F$2:$K$25,MATCH(Pricer!$B$5&amp;"|ALL3|"&amp;C$4,'Sweep costs'!$A$2:$A$25,0),MATCH($A10,'Sweep costs'!$F$1:$K$1,0))+Pricer!$B$11,"not measured")</f>
        <v/>
      </c>
      <c r="D10" s="12">
        <f>IFERROR(INDEX('Sweep costs'!$F$2:$K$25,MATCH(Pricer!$B$5&amp;"|ALL3|"&amp;D$4,'Sweep costs'!$A$2:$A$25,0),MATCH($A10,'Sweep costs'!$F$1:$K$1,0))+Pricer!$B$11,"not measured")</f>
        <v/>
      </c>
      <c r="E10" s="12">
        <f>IFERROR(INDEX('Sweep costs'!$F$2:$K$25,MATCH(Pricer!$B$5&amp;"|ALL3|"&amp;E$4,'Sweep costs'!$A$2:$A$25,0),MATCH($A10,'Sweep costs'!$F$1:$K$1,0))+Pricer!$B$11,"not measured")</f>
        <v/>
      </c>
    </row>
  </sheetData>
  <conditionalFormatting sqref="B5:E10">
    <cfRule type="colorScale" priority="1">
      <colorScale>
        <cfvo type="min"/>
        <cfvo type="max"/>
        <color rgb="00F3F8FE"/>
        <color rgb="005598E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Cost of waiting: 95% risk of working the clip instead of sweeping (bps)</t>
        </is>
      </c>
    </row>
    <row r="2">
      <c r="A2" s="2" t="inlineStr">
        <is>
          <t>Clip size, participation and z follow the Pricer. Compare with the sweep cost in the Pricer (a few bps): waiting is the expensive option for every hour.</t>
        </is>
      </c>
    </row>
    <row r="4">
      <c r="A4" s="13" t="inlineStr">
        <is>
          <t>Hour (UTC)</t>
        </is>
      </c>
      <c r="B4" s="13" t="inlineStr">
        <is>
          <t>BTC weekday</t>
        </is>
      </c>
      <c r="C4" s="13" t="inlineStr">
        <is>
          <t>BTC weekend</t>
        </is>
      </c>
      <c r="D4" s="13" t="inlineStr">
        <is>
          <t>ETH weekday</t>
        </is>
      </c>
      <c r="E4" s="13" t="inlineStr">
        <is>
          <t>ETH weekend</t>
        </is>
      </c>
    </row>
    <row r="5">
      <c r="A5" s="3" t="n">
        <v>0</v>
      </c>
      <c r="B5" s="14">
        <f>Pricer!$B$13*INDEX('Liquidity clock'!$F$2:$F$97,MATCH("BTC|Weekday|"&amp;$A5,'Liquidity clock'!$A$2:$A$97,0))*SQRT(MAX(0.1,MIN(10,Pricer!$B$7))/(Pricer!$B$12*INDEX('Liquidity clock'!$E$2:$E$97,MATCH("BTC|Weekday|"&amp;$A5,'Liquidity clock'!$A$2:$A$97,0)))/3)</f>
        <v/>
      </c>
      <c r="C5" s="14">
        <f>Pricer!$B$13*INDEX('Liquidity clock'!$F$2:$F$97,MATCH("BTC|Weekend|"&amp;$A5,'Liquidity clock'!$A$2:$A$97,0))*SQRT(MAX(0.1,MIN(10,Pricer!$B$7))/(Pricer!$B$12*INDEX('Liquidity clock'!$E$2:$E$97,MATCH("BTC|Weekend|"&amp;$A5,'Liquidity clock'!$A$2:$A$97,0)))/3)</f>
        <v/>
      </c>
      <c r="D5" s="14">
        <f>Pricer!$B$13*INDEX('Liquidity clock'!$F$2:$F$97,MATCH("ETH|Weekday|"&amp;$A5,'Liquidity clock'!$A$2:$A$97,0))*SQRT(MAX(0.1,MIN(10,Pricer!$B$7))/(Pricer!$B$12*INDEX('Liquidity clock'!$E$2:$E$97,MATCH("ETH|Weekday|"&amp;$A5,'Liquidity clock'!$A$2:$A$97,0)))/3)</f>
        <v/>
      </c>
      <c r="E5" s="14">
        <f>Pricer!$B$13*INDEX('Liquidity clock'!$F$2:$F$97,MATCH("ETH|Weekend|"&amp;$A5,'Liquidity clock'!$A$2:$A$97,0))*SQRT(MAX(0.1,MIN(10,Pricer!$B$7))/(Pricer!$B$12*INDEX('Liquidity clock'!$E$2:$E$97,MATCH("ETH|Weekend|"&amp;$A5,'Liquidity clock'!$A$2:$A$97,0)))/3)</f>
        <v/>
      </c>
    </row>
    <row r="6">
      <c r="A6" s="3" t="n">
        <v>1</v>
      </c>
      <c r="B6" s="14">
        <f>Pricer!$B$13*INDEX('Liquidity clock'!$F$2:$F$97,MATCH("BTC|Weekday|"&amp;$A6,'Liquidity clock'!$A$2:$A$97,0))*SQRT(MAX(0.1,MIN(10,Pricer!$B$7))/(Pricer!$B$12*INDEX('Liquidity clock'!$E$2:$E$97,MATCH("BTC|Weekday|"&amp;$A6,'Liquidity clock'!$A$2:$A$97,0)))/3)</f>
        <v/>
      </c>
      <c r="C6" s="14">
        <f>Pricer!$B$13*INDEX('Liquidity clock'!$F$2:$F$97,MATCH("BTC|Weekend|"&amp;$A6,'Liquidity clock'!$A$2:$A$97,0))*SQRT(MAX(0.1,MIN(10,Pricer!$B$7))/(Pricer!$B$12*INDEX('Liquidity clock'!$E$2:$E$97,MATCH("BTC|Weekend|"&amp;$A6,'Liquidity clock'!$A$2:$A$97,0)))/3)</f>
        <v/>
      </c>
      <c r="D6" s="14">
        <f>Pricer!$B$13*INDEX('Liquidity clock'!$F$2:$F$97,MATCH("ETH|Weekday|"&amp;$A6,'Liquidity clock'!$A$2:$A$97,0))*SQRT(MAX(0.1,MIN(10,Pricer!$B$7))/(Pricer!$B$12*INDEX('Liquidity clock'!$E$2:$E$97,MATCH("ETH|Weekday|"&amp;$A6,'Liquidity clock'!$A$2:$A$97,0)))/3)</f>
        <v/>
      </c>
      <c r="E6" s="14">
        <f>Pricer!$B$13*INDEX('Liquidity clock'!$F$2:$F$97,MATCH("ETH|Weekend|"&amp;$A6,'Liquidity clock'!$A$2:$A$97,0))*SQRT(MAX(0.1,MIN(10,Pricer!$B$7))/(Pricer!$B$12*INDEX('Liquidity clock'!$E$2:$E$97,MATCH("ETH|Weekend|"&amp;$A6,'Liquidity clock'!$A$2:$A$97,0)))/3)</f>
        <v/>
      </c>
    </row>
    <row r="7">
      <c r="A7" s="3" t="n">
        <v>2</v>
      </c>
      <c r="B7" s="14">
        <f>Pricer!$B$13*INDEX('Liquidity clock'!$F$2:$F$97,MATCH("BTC|Weekday|"&amp;$A7,'Liquidity clock'!$A$2:$A$97,0))*SQRT(MAX(0.1,MIN(10,Pricer!$B$7))/(Pricer!$B$12*INDEX('Liquidity clock'!$E$2:$E$97,MATCH("BTC|Weekday|"&amp;$A7,'Liquidity clock'!$A$2:$A$97,0)))/3)</f>
        <v/>
      </c>
      <c r="C7" s="14">
        <f>Pricer!$B$13*INDEX('Liquidity clock'!$F$2:$F$97,MATCH("BTC|Weekend|"&amp;$A7,'Liquidity clock'!$A$2:$A$97,0))*SQRT(MAX(0.1,MIN(10,Pricer!$B$7))/(Pricer!$B$12*INDEX('Liquidity clock'!$E$2:$E$97,MATCH("BTC|Weekend|"&amp;$A7,'Liquidity clock'!$A$2:$A$97,0)))/3)</f>
        <v/>
      </c>
      <c r="D7" s="14">
        <f>Pricer!$B$13*INDEX('Liquidity clock'!$F$2:$F$97,MATCH("ETH|Weekday|"&amp;$A7,'Liquidity clock'!$A$2:$A$97,0))*SQRT(MAX(0.1,MIN(10,Pricer!$B$7))/(Pricer!$B$12*INDEX('Liquidity clock'!$E$2:$E$97,MATCH("ETH|Weekday|"&amp;$A7,'Liquidity clock'!$A$2:$A$97,0)))/3)</f>
        <v/>
      </c>
      <c r="E7" s="14">
        <f>Pricer!$B$13*INDEX('Liquidity clock'!$F$2:$F$97,MATCH("ETH|Weekend|"&amp;$A7,'Liquidity clock'!$A$2:$A$97,0))*SQRT(MAX(0.1,MIN(10,Pricer!$B$7))/(Pricer!$B$12*INDEX('Liquidity clock'!$E$2:$E$97,MATCH("ETH|Weekend|"&amp;$A7,'Liquidity clock'!$A$2:$A$97,0)))/3)</f>
        <v/>
      </c>
    </row>
    <row r="8">
      <c r="A8" s="3" t="n">
        <v>3</v>
      </c>
      <c r="B8" s="14">
        <f>Pricer!$B$13*INDEX('Liquidity clock'!$F$2:$F$97,MATCH("BTC|Weekday|"&amp;$A8,'Liquidity clock'!$A$2:$A$97,0))*SQRT(MAX(0.1,MIN(10,Pricer!$B$7))/(Pricer!$B$12*INDEX('Liquidity clock'!$E$2:$E$97,MATCH("BTC|Weekday|"&amp;$A8,'Liquidity clock'!$A$2:$A$97,0)))/3)</f>
        <v/>
      </c>
      <c r="C8" s="14">
        <f>Pricer!$B$13*INDEX('Liquidity clock'!$F$2:$F$97,MATCH("BTC|Weekend|"&amp;$A8,'Liquidity clock'!$A$2:$A$97,0))*SQRT(MAX(0.1,MIN(10,Pricer!$B$7))/(Pricer!$B$12*INDEX('Liquidity clock'!$E$2:$E$97,MATCH("BTC|Weekend|"&amp;$A8,'Liquidity clock'!$A$2:$A$97,0)))/3)</f>
        <v/>
      </c>
      <c r="D8" s="14">
        <f>Pricer!$B$13*INDEX('Liquidity clock'!$F$2:$F$97,MATCH("ETH|Weekday|"&amp;$A8,'Liquidity clock'!$A$2:$A$97,0))*SQRT(MAX(0.1,MIN(10,Pricer!$B$7))/(Pricer!$B$12*INDEX('Liquidity clock'!$E$2:$E$97,MATCH("ETH|Weekday|"&amp;$A8,'Liquidity clock'!$A$2:$A$97,0)))/3)</f>
        <v/>
      </c>
      <c r="E8" s="14">
        <f>Pricer!$B$13*INDEX('Liquidity clock'!$F$2:$F$97,MATCH("ETH|Weekend|"&amp;$A8,'Liquidity clock'!$A$2:$A$97,0))*SQRT(MAX(0.1,MIN(10,Pricer!$B$7))/(Pricer!$B$12*INDEX('Liquidity clock'!$E$2:$E$97,MATCH("ETH|Weekend|"&amp;$A8,'Liquidity clock'!$A$2:$A$97,0)))/3)</f>
        <v/>
      </c>
    </row>
    <row r="9">
      <c r="A9" s="3" t="n">
        <v>4</v>
      </c>
      <c r="B9" s="14">
        <f>Pricer!$B$13*INDEX('Liquidity clock'!$F$2:$F$97,MATCH("BTC|Weekday|"&amp;$A9,'Liquidity clock'!$A$2:$A$97,0))*SQRT(MAX(0.1,MIN(10,Pricer!$B$7))/(Pricer!$B$12*INDEX('Liquidity clock'!$E$2:$E$97,MATCH("BTC|Weekday|"&amp;$A9,'Liquidity clock'!$A$2:$A$97,0)))/3)</f>
        <v/>
      </c>
      <c r="C9" s="14">
        <f>Pricer!$B$13*INDEX('Liquidity clock'!$F$2:$F$97,MATCH("BTC|Weekend|"&amp;$A9,'Liquidity clock'!$A$2:$A$97,0))*SQRT(MAX(0.1,MIN(10,Pricer!$B$7))/(Pricer!$B$12*INDEX('Liquidity clock'!$E$2:$E$97,MATCH("BTC|Weekend|"&amp;$A9,'Liquidity clock'!$A$2:$A$97,0)))/3)</f>
        <v/>
      </c>
      <c r="D9" s="14">
        <f>Pricer!$B$13*INDEX('Liquidity clock'!$F$2:$F$97,MATCH("ETH|Weekday|"&amp;$A9,'Liquidity clock'!$A$2:$A$97,0))*SQRT(MAX(0.1,MIN(10,Pricer!$B$7))/(Pricer!$B$12*INDEX('Liquidity clock'!$E$2:$E$97,MATCH("ETH|Weekday|"&amp;$A9,'Liquidity clock'!$A$2:$A$97,0)))/3)</f>
        <v/>
      </c>
      <c r="E9" s="14">
        <f>Pricer!$B$13*INDEX('Liquidity clock'!$F$2:$F$97,MATCH("ETH|Weekend|"&amp;$A9,'Liquidity clock'!$A$2:$A$97,0))*SQRT(MAX(0.1,MIN(10,Pricer!$B$7))/(Pricer!$B$12*INDEX('Liquidity clock'!$E$2:$E$97,MATCH("ETH|Weekend|"&amp;$A9,'Liquidity clock'!$A$2:$A$97,0)))/3)</f>
        <v/>
      </c>
    </row>
    <row r="10">
      <c r="A10" s="3" t="n">
        <v>5</v>
      </c>
      <c r="B10" s="14">
        <f>Pricer!$B$13*INDEX('Liquidity clock'!$F$2:$F$97,MATCH("BTC|Weekday|"&amp;$A10,'Liquidity clock'!$A$2:$A$97,0))*SQRT(MAX(0.1,MIN(10,Pricer!$B$7))/(Pricer!$B$12*INDEX('Liquidity clock'!$E$2:$E$97,MATCH("BTC|Weekday|"&amp;$A10,'Liquidity clock'!$A$2:$A$97,0)))/3)</f>
        <v/>
      </c>
      <c r="C10" s="14">
        <f>Pricer!$B$13*INDEX('Liquidity clock'!$F$2:$F$97,MATCH("BTC|Weekend|"&amp;$A10,'Liquidity clock'!$A$2:$A$97,0))*SQRT(MAX(0.1,MIN(10,Pricer!$B$7))/(Pricer!$B$12*INDEX('Liquidity clock'!$E$2:$E$97,MATCH("BTC|Weekend|"&amp;$A10,'Liquidity clock'!$A$2:$A$97,0)))/3)</f>
        <v/>
      </c>
      <c r="D10" s="14">
        <f>Pricer!$B$13*INDEX('Liquidity clock'!$F$2:$F$97,MATCH("ETH|Weekday|"&amp;$A10,'Liquidity clock'!$A$2:$A$97,0))*SQRT(MAX(0.1,MIN(10,Pricer!$B$7))/(Pricer!$B$12*INDEX('Liquidity clock'!$E$2:$E$97,MATCH("ETH|Weekday|"&amp;$A10,'Liquidity clock'!$A$2:$A$97,0)))/3)</f>
        <v/>
      </c>
      <c r="E10" s="14">
        <f>Pricer!$B$13*INDEX('Liquidity clock'!$F$2:$F$97,MATCH("ETH|Weekend|"&amp;$A10,'Liquidity clock'!$A$2:$A$97,0))*SQRT(MAX(0.1,MIN(10,Pricer!$B$7))/(Pricer!$B$12*INDEX('Liquidity clock'!$E$2:$E$97,MATCH("ETH|Weekend|"&amp;$A10,'Liquidity clock'!$A$2:$A$97,0)))/3)</f>
        <v/>
      </c>
    </row>
    <row r="11">
      <c r="A11" s="3" t="n">
        <v>6</v>
      </c>
      <c r="B11" s="14">
        <f>Pricer!$B$13*INDEX('Liquidity clock'!$F$2:$F$97,MATCH("BTC|Weekday|"&amp;$A11,'Liquidity clock'!$A$2:$A$97,0))*SQRT(MAX(0.1,MIN(10,Pricer!$B$7))/(Pricer!$B$12*INDEX('Liquidity clock'!$E$2:$E$97,MATCH("BTC|Weekday|"&amp;$A11,'Liquidity clock'!$A$2:$A$97,0)))/3)</f>
        <v/>
      </c>
      <c r="C11" s="14">
        <f>Pricer!$B$13*INDEX('Liquidity clock'!$F$2:$F$97,MATCH("BTC|Weekend|"&amp;$A11,'Liquidity clock'!$A$2:$A$97,0))*SQRT(MAX(0.1,MIN(10,Pricer!$B$7))/(Pricer!$B$12*INDEX('Liquidity clock'!$E$2:$E$97,MATCH("BTC|Weekend|"&amp;$A11,'Liquidity clock'!$A$2:$A$97,0)))/3)</f>
        <v/>
      </c>
      <c r="D11" s="14">
        <f>Pricer!$B$13*INDEX('Liquidity clock'!$F$2:$F$97,MATCH("ETH|Weekday|"&amp;$A11,'Liquidity clock'!$A$2:$A$97,0))*SQRT(MAX(0.1,MIN(10,Pricer!$B$7))/(Pricer!$B$12*INDEX('Liquidity clock'!$E$2:$E$97,MATCH("ETH|Weekday|"&amp;$A11,'Liquidity clock'!$A$2:$A$97,0)))/3)</f>
        <v/>
      </c>
      <c r="E11" s="14">
        <f>Pricer!$B$13*INDEX('Liquidity clock'!$F$2:$F$97,MATCH("ETH|Weekend|"&amp;$A11,'Liquidity clock'!$A$2:$A$97,0))*SQRT(MAX(0.1,MIN(10,Pricer!$B$7))/(Pricer!$B$12*INDEX('Liquidity clock'!$E$2:$E$97,MATCH("ETH|Weekend|"&amp;$A11,'Liquidity clock'!$A$2:$A$97,0)))/3)</f>
        <v/>
      </c>
    </row>
    <row r="12">
      <c r="A12" s="3" t="n">
        <v>7</v>
      </c>
      <c r="B12" s="14">
        <f>Pricer!$B$13*INDEX('Liquidity clock'!$F$2:$F$97,MATCH("BTC|Weekday|"&amp;$A12,'Liquidity clock'!$A$2:$A$97,0))*SQRT(MAX(0.1,MIN(10,Pricer!$B$7))/(Pricer!$B$12*INDEX('Liquidity clock'!$E$2:$E$97,MATCH("BTC|Weekday|"&amp;$A12,'Liquidity clock'!$A$2:$A$97,0)))/3)</f>
        <v/>
      </c>
      <c r="C12" s="14">
        <f>Pricer!$B$13*INDEX('Liquidity clock'!$F$2:$F$97,MATCH("BTC|Weekend|"&amp;$A12,'Liquidity clock'!$A$2:$A$97,0))*SQRT(MAX(0.1,MIN(10,Pricer!$B$7))/(Pricer!$B$12*INDEX('Liquidity clock'!$E$2:$E$97,MATCH("BTC|Weekend|"&amp;$A12,'Liquidity clock'!$A$2:$A$97,0)))/3)</f>
        <v/>
      </c>
      <c r="D12" s="14">
        <f>Pricer!$B$13*INDEX('Liquidity clock'!$F$2:$F$97,MATCH("ETH|Weekday|"&amp;$A12,'Liquidity clock'!$A$2:$A$97,0))*SQRT(MAX(0.1,MIN(10,Pricer!$B$7))/(Pricer!$B$12*INDEX('Liquidity clock'!$E$2:$E$97,MATCH("ETH|Weekday|"&amp;$A12,'Liquidity clock'!$A$2:$A$97,0)))/3)</f>
        <v/>
      </c>
      <c r="E12" s="14">
        <f>Pricer!$B$13*INDEX('Liquidity clock'!$F$2:$F$97,MATCH("ETH|Weekend|"&amp;$A12,'Liquidity clock'!$A$2:$A$97,0))*SQRT(MAX(0.1,MIN(10,Pricer!$B$7))/(Pricer!$B$12*INDEX('Liquidity clock'!$E$2:$E$97,MATCH("ETH|Weekend|"&amp;$A12,'Liquidity clock'!$A$2:$A$97,0)))/3)</f>
        <v/>
      </c>
    </row>
    <row r="13">
      <c r="A13" s="3" t="n">
        <v>8</v>
      </c>
      <c r="B13" s="14">
        <f>Pricer!$B$13*INDEX('Liquidity clock'!$F$2:$F$97,MATCH("BTC|Weekday|"&amp;$A13,'Liquidity clock'!$A$2:$A$97,0))*SQRT(MAX(0.1,MIN(10,Pricer!$B$7))/(Pricer!$B$12*INDEX('Liquidity clock'!$E$2:$E$97,MATCH("BTC|Weekday|"&amp;$A13,'Liquidity clock'!$A$2:$A$97,0)))/3)</f>
        <v/>
      </c>
      <c r="C13" s="14">
        <f>Pricer!$B$13*INDEX('Liquidity clock'!$F$2:$F$97,MATCH("BTC|Weekend|"&amp;$A13,'Liquidity clock'!$A$2:$A$97,0))*SQRT(MAX(0.1,MIN(10,Pricer!$B$7))/(Pricer!$B$12*INDEX('Liquidity clock'!$E$2:$E$97,MATCH("BTC|Weekend|"&amp;$A13,'Liquidity clock'!$A$2:$A$97,0)))/3)</f>
        <v/>
      </c>
      <c r="D13" s="14">
        <f>Pricer!$B$13*INDEX('Liquidity clock'!$F$2:$F$97,MATCH("ETH|Weekday|"&amp;$A13,'Liquidity clock'!$A$2:$A$97,0))*SQRT(MAX(0.1,MIN(10,Pricer!$B$7))/(Pricer!$B$12*INDEX('Liquidity clock'!$E$2:$E$97,MATCH("ETH|Weekday|"&amp;$A13,'Liquidity clock'!$A$2:$A$97,0)))/3)</f>
        <v/>
      </c>
      <c r="E13" s="14">
        <f>Pricer!$B$13*INDEX('Liquidity clock'!$F$2:$F$97,MATCH("ETH|Weekend|"&amp;$A13,'Liquidity clock'!$A$2:$A$97,0))*SQRT(MAX(0.1,MIN(10,Pricer!$B$7))/(Pricer!$B$12*INDEX('Liquidity clock'!$E$2:$E$97,MATCH("ETH|Weekend|"&amp;$A13,'Liquidity clock'!$A$2:$A$97,0)))/3)</f>
        <v/>
      </c>
    </row>
    <row r="14">
      <c r="A14" s="3" t="n">
        <v>9</v>
      </c>
      <c r="B14" s="14">
        <f>Pricer!$B$13*INDEX('Liquidity clock'!$F$2:$F$97,MATCH("BTC|Weekday|"&amp;$A14,'Liquidity clock'!$A$2:$A$97,0))*SQRT(MAX(0.1,MIN(10,Pricer!$B$7))/(Pricer!$B$12*INDEX('Liquidity clock'!$E$2:$E$97,MATCH("BTC|Weekday|"&amp;$A14,'Liquidity clock'!$A$2:$A$97,0)))/3)</f>
        <v/>
      </c>
      <c r="C14" s="14">
        <f>Pricer!$B$13*INDEX('Liquidity clock'!$F$2:$F$97,MATCH("BTC|Weekend|"&amp;$A14,'Liquidity clock'!$A$2:$A$97,0))*SQRT(MAX(0.1,MIN(10,Pricer!$B$7))/(Pricer!$B$12*INDEX('Liquidity clock'!$E$2:$E$97,MATCH("BTC|Weekend|"&amp;$A14,'Liquidity clock'!$A$2:$A$97,0)))/3)</f>
        <v/>
      </c>
      <c r="D14" s="14">
        <f>Pricer!$B$13*INDEX('Liquidity clock'!$F$2:$F$97,MATCH("ETH|Weekday|"&amp;$A14,'Liquidity clock'!$A$2:$A$97,0))*SQRT(MAX(0.1,MIN(10,Pricer!$B$7))/(Pricer!$B$12*INDEX('Liquidity clock'!$E$2:$E$97,MATCH("ETH|Weekday|"&amp;$A14,'Liquidity clock'!$A$2:$A$97,0)))/3)</f>
        <v/>
      </c>
      <c r="E14" s="14">
        <f>Pricer!$B$13*INDEX('Liquidity clock'!$F$2:$F$97,MATCH("ETH|Weekend|"&amp;$A14,'Liquidity clock'!$A$2:$A$97,0))*SQRT(MAX(0.1,MIN(10,Pricer!$B$7))/(Pricer!$B$12*INDEX('Liquidity clock'!$E$2:$E$97,MATCH("ETH|Weekend|"&amp;$A14,'Liquidity clock'!$A$2:$A$97,0)))/3)</f>
        <v/>
      </c>
    </row>
    <row r="15">
      <c r="A15" s="3" t="n">
        <v>10</v>
      </c>
      <c r="B15" s="14">
        <f>Pricer!$B$13*INDEX('Liquidity clock'!$F$2:$F$97,MATCH("BTC|Weekday|"&amp;$A15,'Liquidity clock'!$A$2:$A$97,0))*SQRT(MAX(0.1,MIN(10,Pricer!$B$7))/(Pricer!$B$12*INDEX('Liquidity clock'!$E$2:$E$97,MATCH("BTC|Weekday|"&amp;$A15,'Liquidity clock'!$A$2:$A$97,0)))/3)</f>
        <v/>
      </c>
      <c r="C15" s="14">
        <f>Pricer!$B$13*INDEX('Liquidity clock'!$F$2:$F$97,MATCH("BTC|Weekend|"&amp;$A15,'Liquidity clock'!$A$2:$A$97,0))*SQRT(MAX(0.1,MIN(10,Pricer!$B$7))/(Pricer!$B$12*INDEX('Liquidity clock'!$E$2:$E$97,MATCH("BTC|Weekend|"&amp;$A15,'Liquidity clock'!$A$2:$A$97,0)))/3)</f>
        <v/>
      </c>
      <c r="D15" s="14">
        <f>Pricer!$B$13*INDEX('Liquidity clock'!$F$2:$F$97,MATCH("ETH|Weekday|"&amp;$A15,'Liquidity clock'!$A$2:$A$97,0))*SQRT(MAX(0.1,MIN(10,Pricer!$B$7))/(Pricer!$B$12*INDEX('Liquidity clock'!$E$2:$E$97,MATCH("ETH|Weekday|"&amp;$A15,'Liquidity clock'!$A$2:$A$97,0)))/3)</f>
        <v/>
      </c>
      <c r="E15" s="14">
        <f>Pricer!$B$13*INDEX('Liquidity clock'!$F$2:$F$97,MATCH("ETH|Weekend|"&amp;$A15,'Liquidity clock'!$A$2:$A$97,0))*SQRT(MAX(0.1,MIN(10,Pricer!$B$7))/(Pricer!$B$12*INDEX('Liquidity clock'!$E$2:$E$97,MATCH("ETH|Weekend|"&amp;$A15,'Liquidity clock'!$A$2:$A$97,0)))/3)</f>
        <v/>
      </c>
    </row>
    <row r="16">
      <c r="A16" s="3" t="n">
        <v>11</v>
      </c>
      <c r="B16" s="14">
        <f>Pricer!$B$13*INDEX('Liquidity clock'!$F$2:$F$97,MATCH("BTC|Weekday|"&amp;$A16,'Liquidity clock'!$A$2:$A$97,0))*SQRT(MAX(0.1,MIN(10,Pricer!$B$7))/(Pricer!$B$12*INDEX('Liquidity clock'!$E$2:$E$97,MATCH("BTC|Weekday|"&amp;$A16,'Liquidity clock'!$A$2:$A$97,0)))/3)</f>
        <v/>
      </c>
      <c r="C16" s="14">
        <f>Pricer!$B$13*INDEX('Liquidity clock'!$F$2:$F$97,MATCH("BTC|Weekend|"&amp;$A16,'Liquidity clock'!$A$2:$A$97,0))*SQRT(MAX(0.1,MIN(10,Pricer!$B$7))/(Pricer!$B$12*INDEX('Liquidity clock'!$E$2:$E$97,MATCH("BTC|Weekend|"&amp;$A16,'Liquidity clock'!$A$2:$A$97,0)))/3)</f>
        <v/>
      </c>
      <c r="D16" s="14">
        <f>Pricer!$B$13*INDEX('Liquidity clock'!$F$2:$F$97,MATCH("ETH|Weekday|"&amp;$A16,'Liquidity clock'!$A$2:$A$97,0))*SQRT(MAX(0.1,MIN(10,Pricer!$B$7))/(Pricer!$B$12*INDEX('Liquidity clock'!$E$2:$E$97,MATCH("ETH|Weekday|"&amp;$A16,'Liquidity clock'!$A$2:$A$97,0)))/3)</f>
        <v/>
      </c>
      <c r="E16" s="14">
        <f>Pricer!$B$13*INDEX('Liquidity clock'!$F$2:$F$97,MATCH("ETH|Weekend|"&amp;$A16,'Liquidity clock'!$A$2:$A$97,0))*SQRT(MAX(0.1,MIN(10,Pricer!$B$7))/(Pricer!$B$12*INDEX('Liquidity clock'!$E$2:$E$97,MATCH("ETH|Weekend|"&amp;$A16,'Liquidity clock'!$A$2:$A$97,0)))/3)</f>
        <v/>
      </c>
    </row>
    <row r="17">
      <c r="A17" s="3" t="n">
        <v>12</v>
      </c>
      <c r="B17" s="14">
        <f>Pricer!$B$13*INDEX('Liquidity clock'!$F$2:$F$97,MATCH("BTC|Weekday|"&amp;$A17,'Liquidity clock'!$A$2:$A$97,0))*SQRT(MAX(0.1,MIN(10,Pricer!$B$7))/(Pricer!$B$12*INDEX('Liquidity clock'!$E$2:$E$97,MATCH("BTC|Weekday|"&amp;$A17,'Liquidity clock'!$A$2:$A$97,0)))/3)</f>
        <v/>
      </c>
      <c r="C17" s="14">
        <f>Pricer!$B$13*INDEX('Liquidity clock'!$F$2:$F$97,MATCH("BTC|Weekend|"&amp;$A17,'Liquidity clock'!$A$2:$A$97,0))*SQRT(MAX(0.1,MIN(10,Pricer!$B$7))/(Pricer!$B$12*INDEX('Liquidity clock'!$E$2:$E$97,MATCH("BTC|Weekend|"&amp;$A17,'Liquidity clock'!$A$2:$A$97,0)))/3)</f>
        <v/>
      </c>
      <c r="D17" s="14">
        <f>Pricer!$B$13*INDEX('Liquidity clock'!$F$2:$F$97,MATCH("ETH|Weekday|"&amp;$A17,'Liquidity clock'!$A$2:$A$97,0))*SQRT(MAX(0.1,MIN(10,Pricer!$B$7))/(Pricer!$B$12*INDEX('Liquidity clock'!$E$2:$E$97,MATCH("ETH|Weekday|"&amp;$A17,'Liquidity clock'!$A$2:$A$97,0)))/3)</f>
        <v/>
      </c>
      <c r="E17" s="14">
        <f>Pricer!$B$13*INDEX('Liquidity clock'!$F$2:$F$97,MATCH("ETH|Weekend|"&amp;$A17,'Liquidity clock'!$A$2:$A$97,0))*SQRT(MAX(0.1,MIN(10,Pricer!$B$7))/(Pricer!$B$12*INDEX('Liquidity clock'!$E$2:$E$97,MATCH("ETH|Weekend|"&amp;$A17,'Liquidity clock'!$A$2:$A$97,0)))/3)</f>
        <v/>
      </c>
    </row>
    <row r="18">
      <c r="A18" s="3" t="n">
        <v>13</v>
      </c>
      <c r="B18" s="14">
        <f>Pricer!$B$13*INDEX('Liquidity clock'!$F$2:$F$97,MATCH("BTC|Weekday|"&amp;$A18,'Liquidity clock'!$A$2:$A$97,0))*SQRT(MAX(0.1,MIN(10,Pricer!$B$7))/(Pricer!$B$12*INDEX('Liquidity clock'!$E$2:$E$97,MATCH("BTC|Weekday|"&amp;$A18,'Liquidity clock'!$A$2:$A$97,0)))/3)</f>
        <v/>
      </c>
      <c r="C18" s="14">
        <f>Pricer!$B$13*INDEX('Liquidity clock'!$F$2:$F$97,MATCH("BTC|Weekend|"&amp;$A18,'Liquidity clock'!$A$2:$A$97,0))*SQRT(MAX(0.1,MIN(10,Pricer!$B$7))/(Pricer!$B$12*INDEX('Liquidity clock'!$E$2:$E$97,MATCH("BTC|Weekend|"&amp;$A18,'Liquidity clock'!$A$2:$A$97,0)))/3)</f>
        <v/>
      </c>
      <c r="D18" s="14">
        <f>Pricer!$B$13*INDEX('Liquidity clock'!$F$2:$F$97,MATCH("ETH|Weekday|"&amp;$A18,'Liquidity clock'!$A$2:$A$97,0))*SQRT(MAX(0.1,MIN(10,Pricer!$B$7))/(Pricer!$B$12*INDEX('Liquidity clock'!$E$2:$E$97,MATCH("ETH|Weekday|"&amp;$A18,'Liquidity clock'!$A$2:$A$97,0)))/3)</f>
        <v/>
      </c>
      <c r="E18" s="14">
        <f>Pricer!$B$13*INDEX('Liquidity clock'!$F$2:$F$97,MATCH("ETH|Weekend|"&amp;$A18,'Liquidity clock'!$A$2:$A$97,0))*SQRT(MAX(0.1,MIN(10,Pricer!$B$7))/(Pricer!$B$12*INDEX('Liquidity clock'!$E$2:$E$97,MATCH("ETH|Weekend|"&amp;$A18,'Liquidity clock'!$A$2:$A$97,0)))/3)</f>
        <v/>
      </c>
    </row>
    <row r="19">
      <c r="A19" s="3" t="n">
        <v>14</v>
      </c>
      <c r="B19" s="14">
        <f>Pricer!$B$13*INDEX('Liquidity clock'!$F$2:$F$97,MATCH("BTC|Weekday|"&amp;$A19,'Liquidity clock'!$A$2:$A$97,0))*SQRT(MAX(0.1,MIN(10,Pricer!$B$7))/(Pricer!$B$12*INDEX('Liquidity clock'!$E$2:$E$97,MATCH("BTC|Weekday|"&amp;$A19,'Liquidity clock'!$A$2:$A$97,0)))/3)</f>
        <v/>
      </c>
      <c r="C19" s="14">
        <f>Pricer!$B$13*INDEX('Liquidity clock'!$F$2:$F$97,MATCH("BTC|Weekend|"&amp;$A19,'Liquidity clock'!$A$2:$A$97,0))*SQRT(MAX(0.1,MIN(10,Pricer!$B$7))/(Pricer!$B$12*INDEX('Liquidity clock'!$E$2:$E$97,MATCH("BTC|Weekend|"&amp;$A19,'Liquidity clock'!$A$2:$A$97,0)))/3)</f>
        <v/>
      </c>
      <c r="D19" s="14">
        <f>Pricer!$B$13*INDEX('Liquidity clock'!$F$2:$F$97,MATCH("ETH|Weekday|"&amp;$A19,'Liquidity clock'!$A$2:$A$97,0))*SQRT(MAX(0.1,MIN(10,Pricer!$B$7))/(Pricer!$B$12*INDEX('Liquidity clock'!$E$2:$E$97,MATCH("ETH|Weekday|"&amp;$A19,'Liquidity clock'!$A$2:$A$97,0)))/3)</f>
        <v/>
      </c>
      <c r="E19" s="14">
        <f>Pricer!$B$13*INDEX('Liquidity clock'!$F$2:$F$97,MATCH("ETH|Weekend|"&amp;$A19,'Liquidity clock'!$A$2:$A$97,0))*SQRT(MAX(0.1,MIN(10,Pricer!$B$7))/(Pricer!$B$12*INDEX('Liquidity clock'!$E$2:$E$97,MATCH("ETH|Weekend|"&amp;$A19,'Liquidity clock'!$A$2:$A$97,0)))/3)</f>
        <v/>
      </c>
    </row>
    <row r="20">
      <c r="A20" s="3" t="n">
        <v>15</v>
      </c>
      <c r="B20" s="14">
        <f>Pricer!$B$13*INDEX('Liquidity clock'!$F$2:$F$97,MATCH("BTC|Weekday|"&amp;$A20,'Liquidity clock'!$A$2:$A$97,0))*SQRT(MAX(0.1,MIN(10,Pricer!$B$7))/(Pricer!$B$12*INDEX('Liquidity clock'!$E$2:$E$97,MATCH("BTC|Weekday|"&amp;$A20,'Liquidity clock'!$A$2:$A$97,0)))/3)</f>
        <v/>
      </c>
      <c r="C20" s="14">
        <f>Pricer!$B$13*INDEX('Liquidity clock'!$F$2:$F$97,MATCH("BTC|Weekend|"&amp;$A20,'Liquidity clock'!$A$2:$A$97,0))*SQRT(MAX(0.1,MIN(10,Pricer!$B$7))/(Pricer!$B$12*INDEX('Liquidity clock'!$E$2:$E$97,MATCH("BTC|Weekend|"&amp;$A20,'Liquidity clock'!$A$2:$A$97,0)))/3)</f>
        <v/>
      </c>
      <c r="D20" s="14">
        <f>Pricer!$B$13*INDEX('Liquidity clock'!$F$2:$F$97,MATCH("ETH|Weekday|"&amp;$A20,'Liquidity clock'!$A$2:$A$97,0))*SQRT(MAX(0.1,MIN(10,Pricer!$B$7))/(Pricer!$B$12*INDEX('Liquidity clock'!$E$2:$E$97,MATCH("ETH|Weekday|"&amp;$A20,'Liquidity clock'!$A$2:$A$97,0)))/3)</f>
        <v/>
      </c>
      <c r="E20" s="14">
        <f>Pricer!$B$13*INDEX('Liquidity clock'!$F$2:$F$97,MATCH("ETH|Weekend|"&amp;$A20,'Liquidity clock'!$A$2:$A$97,0))*SQRT(MAX(0.1,MIN(10,Pricer!$B$7))/(Pricer!$B$12*INDEX('Liquidity clock'!$E$2:$E$97,MATCH("ETH|Weekend|"&amp;$A20,'Liquidity clock'!$A$2:$A$97,0)))/3)</f>
        <v/>
      </c>
    </row>
    <row r="21">
      <c r="A21" s="3" t="n">
        <v>16</v>
      </c>
      <c r="B21" s="14">
        <f>Pricer!$B$13*INDEX('Liquidity clock'!$F$2:$F$97,MATCH("BTC|Weekday|"&amp;$A21,'Liquidity clock'!$A$2:$A$97,0))*SQRT(MAX(0.1,MIN(10,Pricer!$B$7))/(Pricer!$B$12*INDEX('Liquidity clock'!$E$2:$E$97,MATCH("BTC|Weekday|"&amp;$A21,'Liquidity clock'!$A$2:$A$97,0)))/3)</f>
        <v/>
      </c>
      <c r="C21" s="14">
        <f>Pricer!$B$13*INDEX('Liquidity clock'!$F$2:$F$97,MATCH("BTC|Weekend|"&amp;$A21,'Liquidity clock'!$A$2:$A$97,0))*SQRT(MAX(0.1,MIN(10,Pricer!$B$7))/(Pricer!$B$12*INDEX('Liquidity clock'!$E$2:$E$97,MATCH("BTC|Weekend|"&amp;$A21,'Liquidity clock'!$A$2:$A$97,0)))/3)</f>
        <v/>
      </c>
      <c r="D21" s="14">
        <f>Pricer!$B$13*INDEX('Liquidity clock'!$F$2:$F$97,MATCH("ETH|Weekday|"&amp;$A21,'Liquidity clock'!$A$2:$A$97,0))*SQRT(MAX(0.1,MIN(10,Pricer!$B$7))/(Pricer!$B$12*INDEX('Liquidity clock'!$E$2:$E$97,MATCH("ETH|Weekday|"&amp;$A21,'Liquidity clock'!$A$2:$A$97,0)))/3)</f>
        <v/>
      </c>
      <c r="E21" s="14">
        <f>Pricer!$B$13*INDEX('Liquidity clock'!$F$2:$F$97,MATCH("ETH|Weekend|"&amp;$A21,'Liquidity clock'!$A$2:$A$97,0))*SQRT(MAX(0.1,MIN(10,Pricer!$B$7))/(Pricer!$B$12*INDEX('Liquidity clock'!$E$2:$E$97,MATCH("ETH|Weekend|"&amp;$A21,'Liquidity clock'!$A$2:$A$97,0)))/3)</f>
        <v/>
      </c>
    </row>
    <row r="22">
      <c r="A22" s="3" t="n">
        <v>17</v>
      </c>
      <c r="B22" s="14">
        <f>Pricer!$B$13*INDEX('Liquidity clock'!$F$2:$F$97,MATCH("BTC|Weekday|"&amp;$A22,'Liquidity clock'!$A$2:$A$97,0))*SQRT(MAX(0.1,MIN(10,Pricer!$B$7))/(Pricer!$B$12*INDEX('Liquidity clock'!$E$2:$E$97,MATCH("BTC|Weekday|"&amp;$A22,'Liquidity clock'!$A$2:$A$97,0)))/3)</f>
        <v/>
      </c>
      <c r="C22" s="14">
        <f>Pricer!$B$13*INDEX('Liquidity clock'!$F$2:$F$97,MATCH("BTC|Weekend|"&amp;$A22,'Liquidity clock'!$A$2:$A$97,0))*SQRT(MAX(0.1,MIN(10,Pricer!$B$7))/(Pricer!$B$12*INDEX('Liquidity clock'!$E$2:$E$97,MATCH("BTC|Weekend|"&amp;$A22,'Liquidity clock'!$A$2:$A$97,0)))/3)</f>
        <v/>
      </c>
      <c r="D22" s="14">
        <f>Pricer!$B$13*INDEX('Liquidity clock'!$F$2:$F$97,MATCH("ETH|Weekday|"&amp;$A22,'Liquidity clock'!$A$2:$A$97,0))*SQRT(MAX(0.1,MIN(10,Pricer!$B$7))/(Pricer!$B$12*INDEX('Liquidity clock'!$E$2:$E$97,MATCH("ETH|Weekday|"&amp;$A22,'Liquidity clock'!$A$2:$A$97,0)))/3)</f>
        <v/>
      </c>
      <c r="E22" s="14">
        <f>Pricer!$B$13*INDEX('Liquidity clock'!$F$2:$F$97,MATCH("ETH|Weekend|"&amp;$A22,'Liquidity clock'!$A$2:$A$97,0))*SQRT(MAX(0.1,MIN(10,Pricer!$B$7))/(Pricer!$B$12*INDEX('Liquidity clock'!$E$2:$E$97,MATCH("ETH|Weekend|"&amp;$A22,'Liquidity clock'!$A$2:$A$97,0)))/3)</f>
        <v/>
      </c>
    </row>
    <row r="23">
      <c r="A23" s="3" t="n">
        <v>18</v>
      </c>
      <c r="B23" s="14">
        <f>Pricer!$B$13*INDEX('Liquidity clock'!$F$2:$F$97,MATCH("BTC|Weekday|"&amp;$A23,'Liquidity clock'!$A$2:$A$97,0))*SQRT(MAX(0.1,MIN(10,Pricer!$B$7))/(Pricer!$B$12*INDEX('Liquidity clock'!$E$2:$E$97,MATCH("BTC|Weekday|"&amp;$A23,'Liquidity clock'!$A$2:$A$97,0)))/3)</f>
        <v/>
      </c>
      <c r="C23" s="14">
        <f>Pricer!$B$13*INDEX('Liquidity clock'!$F$2:$F$97,MATCH("BTC|Weekend|"&amp;$A23,'Liquidity clock'!$A$2:$A$97,0))*SQRT(MAX(0.1,MIN(10,Pricer!$B$7))/(Pricer!$B$12*INDEX('Liquidity clock'!$E$2:$E$97,MATCH("BTC|Weekend|"&amp;$A23,'Liquidity clock'!$A$2:$A$97,0)))/3)</f>
        <v/>
      </c>
      <c r="D23" s="14">
        <f>Pricer!$B$13*INDEX('Liquidity clock'!$F$2:$F$97,MATCH("ETH|Weekday|"&amp;$A23,'Liquidity clock'!$A$2:$A$97,0))*SQRT(MAX(0.1,MIN(10,Pricer!$B$7))/(Pricer!$B$12*INDEX('Liquidity clock'!$E$2:$E$97,MATCH("ETH|Weekday|"&amp;$A23,'Liquidity clock'!$A$2:$A$97,0)))/3)</f>
        <v/>
      </c>
      <c r="E23" s="14">
        <f>Pricer!$B$13*INDEX('Liquidity clock'!$F$2:$F$97,MATCH("ETH|Weekend|"&amp;$A23,'Liquidity clock'!$A$2:$A$97,0))*SQRT(MAX(0.1,MIN(10,Pricer!$B$7))/(Pricer!$B$12*INDEX('Liquidity clock'!$E$2:$E$97,MATCH("ETH|Weekend|"&amp;$A23,'Liquidity clock'!$A$2:$A$97,0)))/3)</f>
        <v/>
      </c>
    </row>
    <row r="24">
      <c r="A24" s="3" t="n">
        <v>19</v>
      </c>
      <c r="B24" s="14">
        <f>Pricer!$B$13*INDEX('Liquidity clock'!$F$2:$F$97,MATCH("BTC|Weekday|"&amp;$A24,'Liquidity clock'!$A$2:$A$97,0))*SQRT(MAX(0.1,MIN(10,Pricer!$B$7))/(Pricer!$B$12*INDEX('Liquidity clock'!$E$2:$E$97,MATCH("BTC|Weekday|"&amp;$A24,'Liquidity clock'!$A$2:$A$97,0)))/3)</f>
        <v/>
      </c>
      <c r="C24" s="14">
        <f>Pricer!$B$13*INDEX('Liquidity clock'!$F$2:$F$97,MATCH("BTC|Weekend|"&amp;$A24,'Liquidity clock'!$A$2:$A$97,0))*SQRT(MAX(0.1,MIN(10,Pricer!$B$7))/(Pricer!$B$12*INDEX('Liquidity clock'!$E$2:$E$97,MATCH("BTC|Weekend|"&amp;$A24,'Liquidity clock'!$A$2:$A$97,0)))/3)</f>
        <v/>
      </c>
      <c r="D24" s="14">
        <f>Pricer!$B$13*INDEX('Liquidity clock'!$F$2:$F$97,MATCH("ETH|Weekday|"&amp;$A24,'Liquidity clock'!$A$2:$A$97,0))*SQRT(MAX(0.1,MIN(10,Pricer!$B$7))/(Pricer!$B$12*INDEX('Liquidity clock'!$E$2:$E$97,MATCH("ETH|Weekday|"&amp;$A24,'Liquidity clock'!$A$2:$A$97,0)))/3)</f>
        <v/>
      </c>
      <c r="E24" s="14">
        <f>Pricer!$B$13*INDEX('Liquidity clock'!$F$2:$F$97,MATCH("ETH|Weekend|"&amp;$A24,'Liquidity clock'!$A$2:$A$97,0))*SQRT(MAX(0.1,MIN(10,Pricer!$B$7))/(Pricer!$B$12*INDEX('Liquidity clock'!$E$2:$E$97,MATCH("ETH|Weekend|"&amp;$A24,'Liquidity clock'!$A$2:$A$97,0)))/3)</f>
        <v/>
      </c>
    </row>
    <row r="25">
      <c r="A25" s="3" t="n">
        <v>20</v>
      </c>
      <c r="B25" s="14">
        <f>Pricer!$B$13*INDEX('Liquidity clock'!$F$2:$F$97,MATCH("BTC|Weekday|"&amp;$A25,'Liquidity clock'!$A$2:$A$97,0))*SQRT(MAX(0.1,MIN(10,Pricer!$B$7))/(Pricer!$B$12*INDEX('Liquidity clock'!$E$2:$E$97,MATCH("BTC|Weekday|"&amp;$A25,'Liquidity clock'!$A$2:$A$97,0)))/3)</f>
        <v/>
      </c>
      <c r="C25" s="14">
        <f>Pricer!$B$13*INDEX('Liquidity clock'!$F$2:$F$97,MATCH("BTC|Weekend|"&amp;$A25,'Liquidity clock'!$A$2:$A$97,0))*SQRT(MAX(0.1,MIN(10,Pricer!$B$7))/(Pricer!$B$12*INDEX('Liquidity clock'!$E$2:$E$97,MATCH("BTC|Weekend|"&amp;$A25,'Liquidity clock'!$A$2:$A$97,0)))/3)</f>
        <v/>
      </c>
      <c r="D25" s="14">
        <f>Pricer!$B$13*INDEX('Liquidity clock'!$F$2:$F$97,MATCH("ETH|Weekday|"&amp;$A25,'Liquidity clock'!$A$2:$A$97,0))*SQRT(MAX(0.1,MIN(10,Pricer!$B$7))/(Pricer!$B$12*INDEX('Liquidity clock'!$E$2:$E$97,MATCH("ETH|Weekday|"&amp;$A25,'Liquidity clock'!$A$2:$A$97,0)))/3)</f>
        <v/>
      </c>
      <c r="E25" s="14">
        <f>Pricer!$B$13*INDEX('Liquidity clock'!$F$2:$F$97,MATCH("ETH|Weekend|"&amp;$A25,'Liquidity clock'!$A$2:$A$97,0))*SQRT(MAX(0.1,MIN(10,Pricer!$B$7))/(Pricer!$B$12*INDEX('Liquidity clock'!$E$2:$E$97,MATCH("ETH|Weekend|"&amp;$A25,'Liquidity clock'!$A$2:$A$97,0)))/3)</f>
        <v/>
      </c>
    </row>
    <row r="26">
      <c r="A26" s="3" t="n">
        <v>21</v>
      </c>
      <c r="B26" s="14">
        <f>Pricer!$B$13*INDEX('Liquidity clock'!$F$2:$F$97,MATCH("BTC|Weekday|"&amp;$A26,'Liquidity clock'!$A$2:$A$97,0))*SQRT(MAX(0.1,MIN(10,Pricer!$B$7))/(Pricer!$B$12*INDEX('Liquidity clock'!$E$2:$E$97,MATCH("BTC|Weekday|"&amp;$A26,'Liquidity clock'!$A$2:$A$97,0)))/3)</f>
        <v/>
      </c>
      <c r="C26" s="14">
        <f>Pricer!$B$13*INDEX('Liquidity clock'!$F$2:$F$97,MATCH("BTC|Weekend|"&amp;$A26,'Liquidity clock'!$A$2:$A$97,0))*SQRT(MAX(0.1,MIN(10,Pricer!$B$7))/(Pricer!$B$12*INDEX('Liquidity clock'!$E$2:$E$97,MATCH("BTC|Weekend|"&amp;$A26,'Liquidity clock'!$A$2:$A$97,0)))/3)</f>
        <v/>
      </c>
      <c r="D26" s="14">
        <f>Pricer!$B$13*INDEX('Liquidity clock'!$F$2:$F$97,MATCH("ETH|Weekday|"&amp;$A26,'Liquidity clock'!$A$2:$A$97,0))*SQRT(MAX(0.1,MIN(10,Pricer!$B$7))/(Pricer!$B$12*INDEX('Liquidity clock'!$E$2:$E$97,MATCH("ETH|Weekday|"&amp;$A26,'Liquidity clock'!$A$2:$A$97,0)))/3)</f>
        <v/>
      </c>
      <c r="E26" s="14">
        <f>Pricer!$B$13*INDEX('Liquidity clock'!$F$2:$F$97,MATCH("ETH|Weekend|"&amp;$A26,'Liquidity clock'!$A$2:$A$97,0))*SQRT(MAX(0.1,MIN(10,Pricer!$B$7))/(Pricer!$B$12*INDEX('Liquidity clock'!$E$2:$E$97,MATCH("ETH|Weekend|"&amp;$A26,'Liquidity clock'!$A$2:$A$97,0)))/3)</f>
        <v/>
      </c>
    </row>
    <row r="27">
      <c r="A27" s="3" t="n">
        <v>22</v>
      </c>
      <c r="B27" s="14">
        <f>Pricer!$B$13*INDEX('Liquidity clock'!$F$2:$F$97,MATCH("BTC|Weekday|"&amp;$A27,'Liquidity clock'!$A$2:$A$97,0))*SQRT(MAX(0.1,MIN(10,Pricer!$B$7))/(Pricer!$B$12*INDEX('Liquidity clock'!$E$2:$E$97,MATCH("BTC|Weekday|"&amp;$A27,'Liquidity clock'!$A$2:$A$97,0)))/3)</f>
        <v/>
      </c>
      <c r="C27" s="14">
        <f>Pricer!$B$13*INDEX('Liquidity clock'!$F$2:$F$97,MATCH("BTC|Weekend|"&amp;$A27,'Liquidity clock'!$A$2:$A$97,0))*SQRT(MAX(0.1,MIN(10,Pricer!$B$7))/(Pricer!$B$12*INDEX('Liquidity clock'!$E$2:$E$97,MATCH("BTC|Weekend|"&amp;$A27,'Liquidity clock'!$A$2:$A$97,0)))/3)</f>
        <v/>
      </c>
      <c r="D27" s="14">
        <f>Pricer!$B$13*INDEX('Liquidity clock'!$F$2:$F$97,MATCH("ETH|Weekday|"&amp;$A27,'Liquidity clock'!$A$2:$A$97,0))*SQRT(MAX(0.1,MIN(10,Pricer!$B$7))/(Pricer!$B$12*INDEX('Liquidity clock'!$E$2:$E$97,MATCH("ETH|Weekday|"&amp;$A27,'Liquidity clock'!$A$2:$A$97,0)))/3)</f>
        <v/>
      </c>
      <c r="E27" s="14">
        <f>Pricer!$B$13*INDEX('Liquidity clock'!$F$2:$F$97,MATCH("ETH|Weekend|"&amp;$A27,'Liquidity clock'!$A$2:$A$97,0))*SQRT(MAX(0.1,MIN(10,Pricer!$B$7))/(Pricer!$B$12*INDEX('Liquidity clock'!$E$2:$E$97,MATCH("ETH|Weekend|"&amp;$A27,'Liquidity clock'!$A$2:$A$97,0)))/3)</f>
        <v/>
      </c>
    </row>
    <row r="28">
      <c r="A28" s="3" t="n">
        <v>23</v>
      </c>
      <c r="B28" s="14">
        <f>Pricer!$B$13*INDEX('Liquidity clock'!$F$2:$F$97,MATCH("BTC|Weekday|"&amp;$A28,'Liquidity clock'!$A$2:$A$97,0))*SQRT(MAX(0.1,MIN(10,Pricer!$B$7))/(Pricer!$B$12*INDEX('Liquidity clock'!$E$2:$E$97,MATCH("BTC|Weekday|"&amp;$A28,'Liquidity clock'!$A$2:$A$97,0)))/3)</f>
        <v/>
      </c>
      <c r="C28" s="14">
        <f>Pricer!$B$13*INDEX('Liquidity clock'!$F$2:$F$97,MATCH("BTC|Weekend|"&amp;$A28,'Liquidity clock'!$A$2:$A$97,0))*SQRT(MAX(0.1,MIN(10,Pricer!$B$7))/(Pricer!$B$12*INDEX('Liquidity clock'!$E$2:$E$97,MATCH("BTC|Weekend|"&amp;$A28,'Liquidity clock'!$A$2:$A$97,0)))/3)</f>
        <v/>
      </c>
      <c r="D28" s="14">
        <f>Pricer!$B$13*INDEX('Liquidity clock'!$F$2:$F$97,MATCH("ETH|Weekday|"&amp;$A28,'Liquidity clock'!$A$2:$A$97,0))*SQRT(MAX(0.1,MIN(10,Pricer!$B$7))/(Pricer!$B$12*INDEX('Liquidity clock'!$E$2:$E$97,MATCH("ETH|Weekday|"&amp;$A28,'Liquidity clock'!$A$2:$A$97,0)))/3)</f>
        <v/>
      </c>
      <c r="E28" s="14">
        <f>Pricer!$B$13*INDEX('Liquidity clock'!$F$2:$F$97,MATCH("ETH|Weekend|"&amp;$A28,'Liquidity clock'!$A$2:$A$97,0))*SQRT(MAX(0.1,MIN(10,Pricer!$B$7))/(Pricer!$B$12*INDEX('Liquidity clock'!$E$2:$E$97,MATCH("ETH|Weekend|"&amp;$A28,'Liquidity clock'!$A$2:$A$97,0)))/3)</f>
        <v/>
      </c>
    </row>
  </sheetData>
  <conditionalFormatting sqref="B5:E28">
    <cfRule type="colorScale" priority="1">
      <colorScale>
        <cfvo type="min"/>
        <cfvo type="max"/>
        <color rgb="00F3F8FE"/>
        <color rgb="005598E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key</t>
        </is>
      </c>
      <c r="B1" s="13" t="inlineStr">
        <is>
          <t>asset</t>
        </is>
      </c>
      <c r="C1" s="13" t="inlineStr">
        <is>
          <t>venue</t>
        </is>
      </c>
      <c r="D1" s="13" t="inlineStr">
        <is>
          <t>window</t>
        </is>
      </c>
      <c r="E1" s="13" t="inlineStr">
        <is>
          <t>minutes</t>
        </is>
      </c>
      <c r="F1" s="13" t="n">
        <v>0.1</v>
      </c>
      <c r="G1" s="13" t="n">
        <v>0.5</v>
      </c>
      <c r="H1" s="13" t="n">
        <v>1</v>
      </c>
      <c r="I1" s="13" t="n">
        <v>2</v>
      </c>
      <c r="J1" s="13" t="n">
        <v>5</v>
      </c>
      <c r="K1" s="13" t="n">
        <v>10</v>
      </c>
    </row>
    <row r="2">
      <c r="A2" t="inlineStr">
        <is>
          <t>BTC|ALL3|All measured</t>
        </is>
      </c>
      <c r="B2" t="inlineStr">
        <is>
          <t>BTC</t>
        </is>
      </c>
      <c r="C2" t="inlineStr">
        <is>
          <t>ALL3</t>
        </is>
      </c>
      <c r="D2" t="inlineStr">
        <is>
          <t>All measured</t>
        </is>
      </c>
      <c r="E2" t="n">
        <v>301</v>
      </c>
      <c r="F2" t="n">
        <v>0.001</v>
      </c>
      <c r="G2" t="n">
        <v>0.141</v>
      </c>
      <c r="H2" t="n">
        <v>0.332</v>
      </c>
      <c r="I2" t="n">
        <v>0.721</v>
      </c>
      <c r="J2" t="n">
        <v>1.747</v>
      </c>
      <c r="K2" t="n">
        <v>3.214</v>
      </c>
    </row>
    <row r="3">
      <c r="A3" t="inlineStr">
        <is>
          <t>BTC|ALL3|London morning</t>
        </is>
      </c>
      <c r="B3" t="inlineStr">
        <is>
          <t>BTC</t>
        </is>
      </c>
      <c r="C3" t="inlineStr">
        <is>
          <t>ALL3</t>
        </is>
      </c>
      <c r="D3" t="inlineStr">
        <is>
          <t>London morning</t>
        </is>
      </c>
      <c r="E3" t="n">
        <v>137</v>
      </c>
      <c r="F3" t="n">
        <v>0.001</v>
      </c>
      <c r="G3" t="n">
        <v>0.153</v>
      </c>
      <c r="H3" t="n">
        <v>0.344</v>
      </c>
      <c r="I3" t="n">
        <v>0.738</v>
      </c>
      <c r="J3" t="n">
        <v>1.874</v>
      </c>
      <c r="K3" t="n">
        <v>3.482</v>
      </c>
    </row>
    <row r="4">
      <c r="A4" t="inlineStr">
        <is>
          <t>BTC|ALL3|New York afternoon</t>
        </is>
      </c>
      <c r="B4" t="inlineStr">
        <is>
          <t>BTC</t>
        </is>
      </c>
      <c r="C4" t="inlineStr">
        <is>
          <t>ALL3</t>
        </is>
      </c>
      <c r="D4" t="inlineStr">
        <is>
          <t>New York afternoon</t>
        </is>
      </c>
      <c r="E4" t="n">
        <v>164</v>
      </c>
      <c r="F4" t="n">
        <v>0.001</v>
      </c>
      <c r="G4" t="n">
        <v>0.137</v>
      </c>
      <c r="H4" t="n">
        <v>0.314</v>
      </c>
      <c r="I4" t="n">
        <v>0.698</v>
      </c>
      <c r="J4" t="n">
        <v>1.693</v>
      </c>
      <c r="K4" t="n">
        <v>3.114</v>
      </c>
    </row>
    <row r="5">
      <c r="A5" t="inlineStr">
        <is>
          <t>BTC|binance|All measured</t>
        </is>
      </c>
      <c r="B5" t="inlineStr">
        <is>
          <t>BTC</t>
        </is>
      </c>
      <c r="C5" t="inlineStr">
        <is>
          <t>binance</t>
        </is>
      </c>
      <c r="D5" t="inlineStr">
        <is>
          <t>All measured</t>
        </is>
      </c>
      <c r="E5" t="n">
        <v>301</v>
      </c>
      <c r="F5" t="n">
        <v>0.001</v>
      </c>
      <c r="G5" t="n">
        <v>0.5629999999999999</v>
      </c>
      <c r="H5" t="n">
        <v>0.955</v>
      </c>
      <c r="I5" t="n">
        <v>1.677</v>
      </c>
      <c r="J5" t="n">
        <v>3.53</v>
      </c>
      <c r="K5" t="n">
        <v>6.654</v>
      </c>
    </row>
    <row r="6">
      <c r="A6" t="inlineStr">
        <is>
          <t>BTC|binance|London morning</t>
        </is>
      </c>
      <c r="B6" t="inlineStr">
        <is>
          <t>BTC</t>
        </is>
      </c>
      <c r="C6" t="inlineStr">
        <is>
          <t>binance</t>
        </is>
      </c>
      <c r="D6" t="inlineStr">
        <is>
          <t>London morning</t>
        </is>
      </c>
      <c r="E6" t="n">
        <v>137</v>
      </c>
      <c r="F6" t="n">
        <v>0.014</v>
      </c>
      <c r="G6" t="n">
        <v>0.5639999999999999</v>
      </c>
      <c r="H6" t="n">
        <v>0.915</v>
      </c>
      <c r="I6" t="n">
        <v>1.625</v>
      </c>
      <c r="J6" t="n">
        <v>3.483</v>
      </c>
      <c r="K6" t="n">
        <v>6.612</v>
      </c>
    </row>
    <row r="7">
      <c r="A7" t="inlineStr">
        <is>
          <t>BTC|binance|New York afternoon</t>
        </is>
      </c>
      <c r="B7" t="inlineStr">
        <is>
          <t>BTC</t>
        </is>
      </c>
      <c r="C7" t="inlineStr">
        <is>
          <t>binance</t>
        </is>
      </c>
      <c r="D7" t="inlineStr">
        <is>
          <t>New York afternoon</t>
        </is>
      </c>
      <c r="E7" t="n">
        <v>164</v>
      </c>
      <c r="F7" t="n">
        <v>0.001</v>
      </c>
      <c r="G7" t="n">
        <v>0.5620000000000001</v>
      </c>
      <c r="H7" t="n">
        <v>0.985</v>
      </c>
      <c r="I7" t="n">
        <v>1.709</v>
      </c>
      <c r="J7" t="n">
        <v>3.559</v>
      </c>
      <c r="K7" t="n">
        <v>6.675</v>
      </c>
    </row>
    <row r="8">
      <c r="A8" t="inlineStr">
        <is>
          <t>BTC|coinbase|All measured</t>
        </is>
      </c>
      <c r="B8" t="inlineStr">
        <is>
          <t>BTC</t>
        </is>
      </c>
      <c r="C8" t="inlineStr">
        <is>
          <t>coinbase</t>
        </is>
      </c>
      <c r="D8" t="inlineStr">
        <is>
          <t>All measured</t>
        </is>
      </c>
      <c r="E8" t="n">
        <v>301</v>
      </c>
      <c r="F8" t="n">
        <v>0.865</v>
      </c>
      <c r="G8" t="n">
        <v>1.753</v>
      </c>
      <c r="H8" t="n">
        <v>2.472</v>
      </c>
      <c r="I8" t="n">
        <v>4.023</v>
      </c>
      <c r="J8" t="n">
        <v>8.237</v>
      </c>
      <c r="K8" t="n">
        <v>13.96</v>
      </c>
    </row>
    <row r="9">
      <c r="A9" t="inlineStr">
        <is>
          <t>BTC|coinbase|London morning</t>
        </is>
      </c>
      <c r="B9" t="inlineStr">
        <is>
          <t>BTC</t>
        </is>
      </c>
      <c r="C9" t="inlineStr">
        <is>
          <t>coinbase</t>
        </is>
      </c>
      <c r="D9" t="inlineStr">
        <is>
          <t>London morning</t>
        </is>
      </c>
      <c r="E9" t="n">
        <v>137</v>
      </c>
      <c r="F9" t="n">
        <v>0.973</v>
      </c>
      <c r="G9" t="n">
        <v>2.098</v>
      </c>
      <c r="H9" t="n">
        <v>3.212</v>
      </c>
      <c r="I9" t="n">
        <v>5.35</v>
      </c>
      <c r="J9" t="n">
        <v>10.99</v>
      </c>
      <c r="K9" t="n">
        <v>18.442</v>
      </c>
    </row>
    <row r="10">
      <c r="A10" t="inlineStr">
        <is>
          <t>BTC|coinbase|New York afternoon</t>
        </is>
      </c>
      <c r="B10" t="inlineStr">
        <is>
          <t>BTC</t>
        </is>
      </c>
      <c r="C10" t="inlineStr">
        <is>
          <t>coinbase</t>
        </is>
      </c>
      <c r="D10" t="inlineStr">
        <is>
          <t>New York afternoon</t>
        </is>
      </c>
      <c r="E10" t="n">
        <v>164</v>
      </c>
      <c r="F10" t="n">
        <v>0.802</v>
      </c>
      <c r="G10" t="n">
        <v>1.589</v>
      </c>
      <c r="H10" t="n">
        <v>2.185</v>
      </c>
      <c r="I10" t="n">
        <v>3.47</v>
      </c>
      <c r="J10" t="n">
        <v>7.517</v>
      </c>
      <c r="K10" t="n">
        <v>13.039</v>
      </c>
    </row>
    <row r="11">
      <c r="A11" t="inlineStr">
        <is>
          <t>BTC|kraken|All measured</t>
        </is>
      </c>
      <c r="B11" t="inlineStr">
        <is>
          <t>BTC</t>
        </is>
      </c>
      <c r="C11" t="inlineStr">
        <is>
          <t>kraken</t>
        </is>
      </c>
      <c r="D11" t="inlineStr">
        <is>
          <t>All measured</t>
        </is>
      </c>
      <c r="E11" t="n">
        <v>301</v>
      </c>
      <c r="F11" t="n">
        <v>0.183</v>
      </c>
      <c r="G11" t="n">
        <v>0.399</v>
      </c>
      <c r="H11" t="n">
        <v>0.706</v>
      </c>
      <c r="I11" t="n">
        <v>1.66</v>
      </c>
      <c r="J11" t="n">
        <v>4.071</v>
      </c>
      <c r="K11" t="n">
        <v>7.969</v>
      </c>
    </row>
    <row r="12">
      <c r="A12" t="inlineStr">
        <is>
          <t>BTC|kraken|London morning</t>
        </is>
      </c>
      <c r="B12" t="inlineStr">
        <is>
          <t>BTC</t>
        </is>
      </c>
      <c r="C12" t="inlineStr">
        <is>
          <t>kraken</t>
        </is>
      </c>
      <c r="D12" t="inlineStr">
        <is>
          <t>London morning</t>
        </is>
      </c>
      <c r="E12" t="n">
        <v>137</v>
      </c>
      <c r="F12" t="n">
        <v>0.214</v>
      </c>
      <c r="G12" t="n">
        <v>0.447</v>
      </c>
      <c r="H12" t="n">
        <v>0.785</v>
      </c>
      <c r="I12" t="n">
        <v>1.781</v>
      </c>
      <c r="J12" t="n">
        <v>4.259</v>
      </c>
      <c r="K12" t="n">
        <v>8.089</v>
      </c>
    </row>
    <row r="13">
      <c r="A13" t="inlineStr">
        <is>
          <t>BTC|kraken|New York afternoon</t>
        </is>
      </c>
      <c r="B13" t="inlineStr">
        <is>
          <t>BTC</t>
        </is>
      </c>
      <c r="C13" t="inlineStr">
        <is>
          <t>kraken</t>
        </is>
      </c>
      <c r="D13" t="inlineStr">
        <is>
          <t>New York afternoon</t>
        </is>
      </c>
      <c r="E13" t="n">
        <v>164</v>
      </c>
      <c r="F13" t="n">
        <v>0.158</v>
      </c>
      <c r="G13" t="n">
        <v>0.368</v>
      </c>
      <c r="H13" t="n">
        <v>0.658</v>
      </c>
      <c r="I13" t="n">
        <v>1.564</v>
      </c>
      <c r="J13" t="n">
        <v>3.953</v>
      </c>
      <c r="K13" t="n">
        <v>7.837</v>
      </c>
    </row>
    <row r="14">
      <c r="A14" t="inlineStr">
        <is>
          <t>ETH|ALL3|All measured</t>
        </is>
      </c>
      <c r="B14" t="inlineStr">
        <is>
          <t>ETH</t>
        </is>
      </c>
      <c r="C14" t="inlineStr">
        <is>
          <t>ALL3</t>
        </is>
      </c>
      <c r="D14" t="inlineStr">
        <is>
          <t>All measured</t>
        </is>
      </c>
      <c r="E14" t="n">
        <v>301</v>
      </c>
      <c r="F14" t="n">
        <v>0.062</v>
      </c>
      <c r="G14" t="n">
        <v>0.86</v>
      </c>
      <c r="H14" t="n">
        <v>1.52</v>
      </c>
      <c r="I14" t="n">
        <v>2.519</v>
      </c>
      <c r="J14" t="n">
        <v>4.806</v>
      </c>
      <c r="K14" t="n">
        <v>8.375</v>
      </c>
    </row>
    <row r="15">
      <c r="A15" t="inlineStr">
        <is>
          <t>ETH|ALL3|London morning</t>
        </is>
      </c>
      <c r="B15" t="inlineStr">
        <is>
          <t>ETH</t>
        </is>
      </c>
      <c r="C15" t="inlineStr">
        <is>
          <t>ALL3</t>
        </is>
      </c>
      <c r="D15" t="inlineStr">
        <is>
          <t>London morning</t>
        </is>
      </c>
      <c r="E15" t="n">
        <v>137</v>
      </c>
      <c r="F15" t="n">
        <v>0.036</v>
      </c>
      <c r="G15" t="n">
        <v>0.916</v>
      </c>
      <c r="H15" t="n">
        <v>1.618</v>
      </c>
      <c r="I15" t="n">
        <v>2.714</v>
      </c>
      <c r="J15" t="n">
        <v>5.004</v>
      </c>
      <c r="K15" t="n">
        <v>8.832000000000001</v>
      </c>
    </row>
    <row r="16">
      <c r="A16" t="inlineStr">
        <is>
          <t>ETH|ALL3|New York afternoon</t>
        </is>
      </c>
      <c r="B16" t="inlineStr">
        <is>
          <t>ETH</t>
        </is>
      </c>
      <c r="C16" t="inlineStr">
        <is>
          <t>ALL3</t>
        </is>
      </c>
      <c r="D16" t="inlineStr">
        <is>
          <t>New York afternoon</t>
        </is>
      </c>
      <c r="E16" t="n">
        <v>164</v>
      </c>
      <c r="F16" t="n">
        <v>0.08</v>
      </c>
      <c r="G16" t="n">
        <v>0.822</v>
      </c>
      <c r="H16" t="n">
        <v>1.449</v>
      </c>
      <c r="I16" t="n">
        <v>2.369</v>
      </c>
      <c r="J16" t="n">
        <v>4.516</v>
      </c>
      <c r="K16" t="n">
        <v>7.898</v>
      </c>
    </row>
    <row r="17">
      <c r="A17" t="inlineStr">
        <is>
          <t>ETH|binance|All measured</t>
        </is>
      </c>
      <c r="B17" t="inlineStr">
        <is>
          <t>ETH</t>
        </is>
      </c>
      <c r="C17" t="inlineStr">
        <is>
          <t>binance</t>
        </is>
      </c>
      <c r="D17" t="inlineStr">
        <is>
          <t>All measured</t>
        </is>
      </c>
      <c r="E17" t="n">
        <v>301</v>
      </c>
      <c r="F17" t="n">
        <v>0.156</v>
      </c>
      <c r="G17" t="n">
        <v>1.376</v>
      </c>
      <c r="H17" t="n">
        <v>2.517</v>
      </c>
      <c r="I17" t="n">
        <v>4.448</v>
      </c>
      <c r="J17" t="n">
        <v>9.811</v>
      </c>
      <c r="K17" t="n">
        <v>37.2</v>
      </c>
    </row>
    <row r="18">
      <c r="A18" t="inlineStr">
        <is>
          <t>ETH|binance|London morning</t>
        </is>
      </c>
      <c r="B18" t="inlineStr">
        <is>
          <t>ETH</t>
        </is>
      </c>
      <c r="C18" t="inlineStr">
        <is>
          <t>binance</t>
        </is>
      </c>
      <c r="D18" t="inlineStr">
        <is>
          <t>London morning</t>
        </is>
      </c>
      <c r="E18" t="n">
        <v>137</v>
      </c>
      <c r="F18" t="n">
        <v>0.116</v>
      </c>
      <c r="G18" t="n">
        <v>1.449</v>
      </c>
      <c r="H18" t="n">
        <v>2.611</v>
      </c>
      <c r="I18" t="n">
        <v>4.666</v>
      </c>
      <c r="J18" t="n">
        <v>10.558</v>
      </c>
      <c r="K18" t="n">
        <v>36.855</v>
      </c>
    </row>
    <row r="19">
      <c r="A19" t="inlineStr">
        <is>
          <t>ETH|binance|New York afternoon</t>
        </is>
      </c>
      <c r="B19" t="inlineStr">
        <is>
          <t>ETH</t>
        </is>
      </c>
      <c r="C19" t="inlineStr">
        <is>
          <t>binance</t>
        </is>
      </c>
      <c r="D19" t="inlineStr">
        <is>
          <t>New York afternoon</t>
        </is>
      </c>
      <c r="E19" t="n">
        <v>164</v>
      </c>
      <c r="F19" t="n">
        <v>0.202</v>
      </c>
      <c r="G19" t="n">
        <v>1.347</v>
      </c>
      <c r="H19" t="n">
        <v>2.417</v>
      </c>
      <c r="I19" t="n">
        <v>4.238</v>
      </c>
      <c r="J19" t="n">
        <v>9.179</v>
      </c>
      <c r="K19" t="n">
        <v>37.289</v>
      </c>
    </row>
    <row r="20">
      <c r="A20" t="inlineStr">
        <is>
          <t>ETH|coinbase|All measured</t>
        </is>
      </c>
      <c r="B20" t="inlineStr">
        <is>
          <t>ETH</t>
        </is>
      </c>
      <c r="C20" t="inlineStr">
        <is>
          <t>coinbase</t>
        </is>
      </c>
      <c r="D20" t="inlineStr">
        <is>
          <t>All measured</t>
        </is>
      </c>
      <c r="E20" t="n">
        <v>301</v>
      </c>
      <c r="F20" t="n">
        <v>1.495</v>
      </c>
      <c r="G20" t="n">
        <v>4.044</v>
      </c>
      <c r="H20" t="n">
        <v>6.775</v>
      </c>
      <c r="I20" t="n">
        <v>10.849</v>
      </c>
      <c r="J20" t="n">
        <v>23.26</v>
      </c>
      <c r="K20" t="n">
        <v>91.05500000000001</v>
      </c>
    </row>
    <row r="21">
      <c r="A21" t="inlineStr">
        <is>
          <t>ETH|coinbase|London morning</t>
        </is>
      </c>
      <c r="B21" t="inlineStr">
        <is>
          <t>ETH</t>
        </is>
      </c>
      <c r="C21" t="inlineStr">
        <is>
          <t>coinbase</t>
        </is>
      </c>
      <c r="D21" t="inlineStr">
        <is>
          <t>London morning</t>
        </is>
      </c>
      <c r="E21" t="n">
        <v>137</v>
      </c>
      <c r="F21" t="n">
        <v>1.624</v>
      </c>
      <c r="G21" t="n">
        <v>4.176</v>
      </c>
      <c r="H21" t="n">
        <v>7.129</v>
      </c>
      <c r="I21" t="n">
        <v>11.554</v>
      </c>
      <c r="J21" t="n">
        <v>32.455</v>
      </c>
      <c r="K21" t="n">
        <v>128.529</v>
      </c>
    </row>
    <row r="22">
      <c r="A22" t="inlineStr">
        <is>
          <t>ETH|coinbase|New York afternoon</t>
        </is>
      </c>
      <c r="B22" t="inlineStr">
        <is>
          <t>ETH</t>
        </is>
      </c>
      <c r="C22" t="inlineStr">
        <is>
          <t>coinbase</t>
        </is>
      </c>
      <c r="D22" t="inlineStr">
        <is>
          <t>New York afternoon</t>
        </is>
      </c>
      <c r="E22" t="n">
        <v>164</v>
      </c>
      <c r="F22" t="n">
        <v>1.368</v>
      </c>
      <c r="G22" t="n">
        <v>3.907</v>
      </c>
      <c r="H22" t="n">
        <v>6.363</v>
      </c>
      <c r="I22" t="n">
        <v>10.433</v>
      </c>
      <c r="J22" t="n">
        <v>21.527</v>
      </c>
      <c r="K22" t="n">
        <v>83.48</v>
      </c>
    </row>
    <row r="23">
      <c r="A23" t="inlineStr">
        <is>
          <t>ETH|kraken|All measured</t>
        </is>
      </c>
      <c r="B23" t="inlineStr">
        <is>
          <t>ETH</t>
        </is>
      </c>
      <c r="C23" t="inlineStr">
        <is>
          <t>kraken</t>
        </is>
      </c>
      <c r="D23" t="inlineStr">
        <is>
          <t>All measured</t>
        </is>
      </c>
      <c r="E23" t="n">
        <v>301</v>
      </c>
      <c r="F23" t="n">
        <v>1.077</v>
      </c>
      <c r="G23" t="n">
        <v>2.291</v>
      </c>
      <c r="H23" t="n">
        <v>3.264</v>
      </c>
      <c r="I23" t="n">
        <v>4.716</v>
      </c>
      <c r="J23" t="n">
        <v>9.996</v>
      </c>
      <c r="K23" t="n">
        <v>20.46</v>
      </c>
    </row>
    <row r="24">
      <c r="A24" t="inlineStr">
        <is>
          <t>ETH|kraken|London morning</t>
        </is>
      </c>
      <c r="B24" t="inlineStr">
        <is>
          <t>ETH</t>
        </is>
      </c>
      <c r="C24" t="inlineStr">
        <is>
          <t>kraken</t>
        </is>
      </c>
      <c r="D24" t="inlineStr">
        <is>
          <t>London morning</t>
        </is>
      </c>
      <c r="E24" t="n">
        <v>137</v>
      </c>
      <c r="F24" t="n">
        <v>1.206</v>
      </c>
      <c r="G24" t="n">
        <v>2.579</v>
      </c>
      <c r="H24" t="n">
        <v>3.554</v>
      </c>
      <c r="I24" t="n">
        <v>4.928</v>
      </c>
      <c r="J24" t="n">
        <v>10.426</v>
      </c>
      <c r="K24" t="n">
        <v>21.297</v>
      </c>
    </row>
    <row r="25">
      <c r="A25" t="inlineStr">
        <is>
          <t>ETH|kraken|New York afternoon</t>
        </is>
      </c>
      <c r="B25" t="inlineStr">
        <is>
          <t>ETH</t>
        </is>
      </c>
      <c r="C25" t="inlineStr">
        <is>
          <t>kraken</t>
        </is>
      </c>
      <c r="D25" t="inlineStr">
        <is>
          <t>New York afternoon</t>
        </is>
      </c>
      <c r="E25" t="n">
        <v>164</v>
      </c>
      <c r="F25" t="n">
        <v>0.968</v>
      </c>
      <c r="G25" t="n">
        <v>2.016</v>
      </c>
      <c r="H25" t="n">
        <v>2.925</v>
      </c>
      <c r="I25" t="n">
        <v>4.402</v>
      </c>
      <c r="J25" t="n">
        <v>9.484</v>
      </c>
      <c r="K25" t="n">
        <v>19.844</v>
      </c>
    </row>
    <row r="27">
      <c r="A27" s="2" t="inlineStr">
        <is>
          <t>Median cost of sweeping the displayed book, bps vs the venue's own mid, average of buy and sell. Columns are clip sizes in M$.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3" t="inlineStr">
        <is>
          <t>key</t>
        </is>
      </c>
      <c r="B1" s="13" t="inlineStr">
        <is>
          <t>asset</t>
        </is>
      </c>
      <c r="C1" s="13" t="inlineStr">
        <is>
          <t>day</t>
        </is>
      </c>
      <c r="D1" s="13" t="inlineStr">
        <is>
          <t>hour</t>
        </is>
      </c>
      <c r="E1" s="13" t="inlineStr">
        <is>
          <t>vol_per_min_musd</t>
        </is>
      </c>
      <c r="F1" s="13" t="inlineStr">
        <is>
          <t>sigma_1m_bps</t>
        </is>
      </c>
      <c r="G1" s="13" t="inlineStr">
        <is>
          <t>coinbase_share</t>
        </is>
      </c>
      <c r="H1" s="13" t="inlineStr">
        <is>
          <t>days</t>
        </is>
      </c>
    </row>
    <row r="2">
      <c r="A2" t="inlineStr">
        <is>
          <t>BTC|Weekday|0</t>
        </is>
      </c>
      <c r="B2" t="inlineStr">
        <is>
          <t>BTC</t>
        </is>
      </c>
      <c r="C2" t="inlineStr">
        <is>
          <t>Weekday</t>
        </is>
      </c>
      <c r="D2" t="n">
        <v>0</v>
      </c>
      <c r="E2" t="n">
        <v>0.9684</v>
      </c>
      <c r="F2" t="n">
        <v>4.672</v>
      </c>
      <c r="G2" t="n">
        <v>0.265</v>
      </c>
      <c r="H2" t="n">
        <v>139</v>
      </c>
    </row>
    <row r="3">
      <c r="A3" t="inlineStr">
        <is>
          <t>BTC|Weekday|1</t>
        </is>
      </c>
      <c r="B3" t="inlineStr">
        <is>
          <t>BTC</t>
        </is>
      </c>
      <c r="C3" t="inlineStr">
        <is>
          <t>Weekday</t>
        </is>
      </c>
      <c r="D3" t="n">
        <v>1</v>
      </c>
      <c r="E3" t="n">
        <v>0.9504</v>
      </c>
      <c r="F3" t="n">
        <v>4.965</v>
      </c>
      <c r="G3" t="n">
        <v>0.267</v>
      </c>
      <c r="H3" t="n">
        <v>139</v>
      </c>
    </row>
    <row r="4">
      <c r="A4" t="inlineStr">
        <is>
          <t>BTC|Weekday|2</t>
        </is>
      </c>
      <c r="B4" t="inlineStr">
        <is>
          <t>BTC</t>
        </is>
      </c>
      <c r="C4" t="inlineStr">
        <is>
          <t>Weekday</t>
        </is>
      </c>
      <c r="D4" t="n">
        <v>2</v>
      </c>
      <c r="E4" t="n">
        <v>0.8837</v>
      </c>
      <c r="F4" t="n">
        <v>4.467</v>
      </c>
      <c r="G4" t="n">
        <v>0.266</v>
      </c>
      <c r="H4" t="n">
        <v>139</v>
      </c>
    </row>
    <row r="5">
      <c r="A5" t="inlineStr">
        <is>
          <t>BTC|Weekday|3</t>
        </is>
      </c>
      <c r="B5" t="inlineStr">
        <is>
          <t>BTC</t>
        </is>
      </c>
      <c r="C5" t="inlineStr">
        <is>
          <t>Weekday</t>
        </is>
      </c>
      <c r="D5" t="n">
        <v>3</v>
      </c>
      <c r="E5" t="n">
        <v>0.7688</v>
      </c>
      <c r="F5" t="n">
        <v>3.893</v>
      </c>
      <c r="G5" t="n">
        <v>0.242</v>
      </c>
      <c r="H5" t="n">
        <v>139</v>
      </c>
    </row>
    <row r="6">
      <c r="A6" t="inlineStr">
        <is>
          <t>BTC|Weekday|4</t>
        </is>
      </c>
      <c r="B6" t="inlineStr">
        <is>
          <t>BTC</t>
        </is>
      </c>
      <c r="C6" t="inlineStr">
        <is>
          <t>Weekday</t>
        </is>
      </c>
      <c r="D6" t="n">
        <v>4</v>
      </c>
      <c r="E6" t="n">
        <v>0.8077</v>
      </c>
      <c r="F6" t="n">
        <v>3.543</v>
      </c>
      <c r="G6" t="n">
        <v>0.223</v>
      </c>
      <c r="H6" t="n">
        <v>139</v>
      </c>
    </row>
    <row r="7">
      <c r="A7" t="inlineStr">
        <is>
          <t>BTC|Weekday|5</t>
        </is>
      </c>
      <c r="B7" t="inlineStr">
        <is>
          <t>BTC</t>
        </is>
      </c>
      <c r="C7" t="inlineStr">
        <is>
          <t>Weekday</t>
        </is>
      </c>
      <c r="D7" t="n">
        <v>5</v>
      </c>
      <c r="E7" t="n">
        <v>0.853</v>
      </c>
      <c r="F7" t="n">
        <v>3.818</v>
      </c>
      <c r="G7" t="n">
        <v>0.209</v>
      </c>
      <c r="H7" t="n">
        <v>139</v>
      </c>
    </row>
    <row r="8">
      <c r="A8" t="inlineStr">
        <is>
          <t>BTC|Weekday|6</t>
        </is>
      </c>
      <c r="B8" t="inlineStr">
        <is>
          <t>BTC</t>
        </is>
      </c>
      <c r="C8" t="inlineStr">
        <is>
          <t>Weekday</t>
        </is>
      </c>
      <c r="D8" t="n">
        <v>6</v>
      </c>
      <c r="E8" t="n">
        <v>0.841</v>
      </c>
      <c r="F8" t="n">
        <v>3.761</v>
      </c>
      <c r="G8" t="n">
        <v>0.207</v>
      </c>
      <c r="H8" t="n">
        <v>139</v>
      </c>
    </row>
    <row r="9">
      <c r="A9" t="inlineStr">
        <is>
          <t>BTC|Weekday|7</t>
        </is>
      </c>
      <c r="B9" t="inlineStr">
        <is>
          <t>BTC</t>
        </is>
      </c>
      <c r="C9" t="inlineStr">
        <is>
          <t>Weekday</t>
        </is>
      </c>
      <c r="D9" t="n">
        <v>7</v>
      </c>
      <c r="E9" t="n">
        <v>1.1373</v>
      </c>
      <c r="F9" t="n">
        <v>3.83</v>
      </c>
      <c r="G9" t="n">
        <v>0.164</v>
      </c>
      <c r="H9" t="n">
        <v>139</v>
      </c>
    </row>
    <row r="10">
      <c r="A10" t="inlineStr">
        <is>
          <t>BTC|Weekday|8</t>
        </is>
      </c>
      <c r="B10" t="inlineStr">
        <is>
          <t>BTC</t>
        </is>
      </c>
      <c r="C10" t="inlineStr">
        <is>
          <t>Weekday</t>
        </is>
      </c>
      <c r="D10" t="n">
        <v>8</v>
      </c>
      <c r="E10" t="n">
        <v>0.9827</v>
      </c>
      <c r="F10" t="n">
        <v>4.16</v>
      </c>
      <c r="G10" t="n">
        <v>0.22</v>
      </c>
      <c r="H10" t="n">
        <v>139</v>
      </c>
    </row>
    <row r="11">
      <c r="A11" t="inlineStr">
        <is>
          <t>BTC|Weekday|9</t>
        </is>
      </c>
      <c r="B11" t="inlineStr">
        <is>
          <t>BTC</t>
        </is>
      </c>
      <c r="C11" t="inlineStr">
        <is>
          <t>Weekday</t>
        </is>
      </c>
      <c r="D11" t="n">
        <v>9</v>
      </c>
      <c r="E11" t="n">
        <v>0.88</v>
      </c>
      <c r="F11" t="n">
        <v>3.675</v>
      </c>
      <c r="G11" t="n">
        <v>0.22</v>
      </c>
      <c r="H11" t="n">
        <v>139</v>
      </c>
    </row>
    <row r="12">
      <c r="A12" t="inlineStr">
        <is>
          <t>BTC|Weekday|10</t>
        </is>
      </c>
      <c r="B12" t="inlineStr">
        <is>
          <t>BTC</t>
        </is>
      </c>
      <c r="C12" t="inlineStr">
        <is>
          <t>Weekday</t>
        </is>
      </c>
      <c r="D12" t="n">
        <v>10</v>
      </c>
      <c r="E12" t="n">
        <v>0.7707000000000001</v>
      </c>
      <c r="F12" t="n">
        <v>3.781</v>
      </c>
      <c r="G12" t="n">
        <v>0.256</v>
      </c>
      <c r="H12" t="n">
        <v>139</v>
      </c>
    </row>
    <row r="13">
      <c r="A13" t="inlineStr">
        <is>
          <t>BTC|Weekday|11</t>
        </is>
      </c>
      <c r="B13" t="inlineStr">
        <is>
          <t>BTC</t>
        </is>
      </c>
      <c r="C13" t="inlineStr">
        <is>
          <t>Weekday</t>
        </is>
      </c>
      <c r="D13" t="n">
        <v>11</v>
      </c>
      <c r="E13" t="n">
        <v>0.8336</v>
      </c>
      <c r="F13" t="n">
        <v>3.693</v>
      </c>
      <c r="G13" t="n">
        <v>0.275</v>
      </c>
      <c r="H13" t="n">
        <v>139</v>
      </c>
    </row>
    <row r="14">
      <c r="A14" t="inlineStr">
        <is>
          <t>BTC|Weekday|12</t>
        </is>
      </c>
      <c r="B14" t="inlineStr">
        <is>
          <t>BTC</t>
        </is>
      </c>
      <c r="C14" t="inlineStr">
        <is>
          <t>Weekday</t>
        </is>
      </c>
      <c r="D14" t="n">
        <v>12</v>
      </c>
      <c r="E14" t="n">
        <v>1.2624</v>
      </c>
      <c r="F14" t="n">
        <v>4.746</v>
      </c>
      <c r="G14" t="n">
        <v>0.297</v>
      </c>
      <c r="H14" t="n">
        <v>139</v>
      </c>
    </row>
    <row r="15">
      <c r="A15" t="inlineStr">
        <is>
          <t>BTC|Weekday|13</t>
        </is>
      </c>
      <c r="B15" t="inlineStr">
        <is>
          <t>BTC</t>
        </is>
      </c>
      <c r="C15" t="inlineStr">
        <is>
          <t>Weekday</t>
        </is>
      </c>
      <c r="D15" t="n">
        <v>13</v>
      </c>
      <c r="E15" t="n">
        <v>2.0976</v>
      </c>
      <c r="F15" t="n">
        <v>7.336</v>
      </c>
      <c r="G15" t="n">
        <v>0.371</v>
      </c>
      <c r="H15" t="n">
        <v>139</v>
      </c>
    </row>
    <row r="16">
      <c r="A16" t="inlineStr">
        <is>
          <t>BTC|Weekday|14</t>
        </is>
      </c>
      <c r="B16" t="inlineStr">
        <is>
          <t>BTC</t>
        </is>
      </c>
      <c r="C16" t="inlineStr">
        <is>
          <t>Weekday</t>
        </is>
      </c>
      <c r="D16" t="n">
        <v>14</v>
      </c>
      <c r="E16" t="n">
        <v>2.4549</v>
      </c>
      <c r="F16" t="n">
        <v>8.305999999999999</v>
      </c>
      <c r="G16" t="n">
        <v>0.351</v>
      </c>
      <c r="H16" t="n">
        <v>139</v>
      </c>
    </row>
    <row r="17">
      <c r="A17" t="inlineStr">
        <is>
          <t>BTC|Weekday|15</t>
        </is>
      </c>
      <c r="B17" t="inlineStr">
        <is>
          <t>BTC</t>
        </is>
      </c>
      <c r="C17" t="inlineStr">
        <is>
          <t>Weekday</t>
        </is>
      </c>
      <c r="D17" t="n">
        <v>15</v>
      </c>
      <c r="E17" t="n">
        <v>2.0203</v>
      </c>
      <c r="F17" t="n">
        <v>6.761</v>
      </c>
      <c r="G17" t="n">
        <v>0.35</v>
      </c>
      <c r="H17" t="n">
        <v>139</v>
      </c>
    </row>
    <row r="18">
      <c r="A18" t="inlineStr">
        <is>
          <t>BTC|Weekday|16</t>
        </is>
      </c>
      <c r="B18" t="inlineStr">
        <is>
          <t>BTC</t>
        </is>
      </c>
      <c r="C18" t="inlineStr">
        <is>
          <t>Weekday</t>
        </is>
      </c>
      <c r="D18" t="n">
        <v>16</v>
      </c>
      <c r="E18" t="n">
        <v>1.4953</v>
      </c>
      <c r="F18" t="n">
        <v>5.605</v>
      </c>
      <c r="G18" t="n">
        <v>0.371</v>
      </c>
      <c r="H18" t="n">
        <v>139</v>
      </c>
    </row>
    <row r="19">
      <c r="A19" t="inlineStr">
        <is>
          <t>BTC|Weekday|17</t>
        </is>
      </c>
      <c r="B19" t="inlineStr">
        <is>
          <t>BTC</t>
        </is>
      </c>
      <c r="C19" t="inlineStr">
        <is>
          <t>Weekday</t>
        </is>
      </c>
      <c r="D19" t="n">
        <v>17</v>
      </c>
      <c r="E19" t="n">
        <v>1.4172</v>
      </c>
      <c r="F19" t="n">
        <v>5.099</v>
      </c>
      <c r="G19" t="n">
        <v>0.392</v>
      </c>
      <c r="H19" t="n">
        <v>139</v>
      </c>
    </row>
    <row r="20">
      <c r="A20" t="inlineStr">
        <is>
          <t>BTC|Weekday|18</t>
        </is>
      </c>
      <c r="B20" t="inlineStr">
        <is>
          <t>BTC</t>
        </is>
      </c>
      <c r="C20" t="inlineStr">
        <is>
          <t>Weekday</t>
        </is>
      </c>
      <c r="D20" t="n">
        <v>18</v>
      </c>
      <c r="E20" t="n">
        <v>1.102</v>
      </c>
      <c r="F20" t="n">
        <v>4.455</v>
      </c>
      <c r="G20" t="n">
        <v>0.41</v>
      </c>
      <c r="H20" t="n">
        <v>139</v>
      </c>
    </row>
    <row r="21">
      <c r="A21" t="inlineStr">
        <is>
          <t>BTC|Weekday|19</t>
        </is>
      </c>
      <c r="B21" t="inlineStr">
        <is>
          <t>BTC</t>
        </is>
      </c>
      <c r="C21" t="inlineStr">
        <is>
          <t>Weekday</t>
        </is>
      </c>
      <c r="D21" t="n">
        <v>19</v>
      </c>
      <c r="E21" t="n">
        <v>1.1536</v>
      </c>
      <c r="F21" t="n">
        <v>4.173</v>
      </c>
      <c r="G21" t="n">
        <v>0.485</v>
      </c>
      <c r="H21" t="n">
        <v>139</v>
      </c>
    </row>
    <row r="22">
      <c r="A22" t="inlineStr">
        <is>
          <t>BTC|Weekday|20</t>
        </is>
      </c>
      <c r="B22" t="inlineStr">
        <is>
          <t>BTC</t>
        </is>
      </c>
      <c r="C22" t="inlineStr">
        <is>
          <t>Weekday</t>
        </is>
      </c>
      <c r="D22" t="n">
        <v>20</v>
      </c>
      <c r="E22" t="n">
        <v>0.7925</v>
      </c>
      <c r="F22" t="n">
        <v>3.816</v>
      </c>
      <c r="G22" t="n">
        <v>0.437</v>
      </c>
      <c r="H22" t="n">
        <v>139</v>
      </c>
    </row>
    <row r="23">
      <c r="A23" t="inlineStr">
        <is>
          <t>BTC|Weekday|21</t>
        </is>
      </c>
      <c r="B23" t="inlineStr">
        <is>
          <t>BTC</t>
        </is>
      </c>
      <c r="C23" t="inlineStr">
        <is>
          <t>Weekday</t>
        </is>
      </c>
      <c r="D23" t="n">
        <v>21</v>
      </c>
      <c r="E23" t="n">
        <v>0.6685</v>
      </c>
      <c r="F23" t="n">
        <v>3.156</v>
      </c>
      <c r="G23" t="n">
        <v>0.363</v>
      </c>
      <c r="H23" t="n">
        <v>139</v>
      </c>
    </row>
    <row r="24">
      <c r="A24" t="inlineStr">
        <is>
          <t>BTC|Weekday|22</t>
        </is>
      </c>
      <c r="B24" t="inlineStr">
        <is>
          <t>BTC</t>
        </is>
      </c>
      <c r="C24" t="inlineStr">
        <is>
          <t>Weekday</t>
        </is>
      </c>
      <c r="D24" t="n">
        <v>22</v>
      </c>
      <c r="E24" t="n">
        <v>0.7178</v>
      </c>
      <c r="F24" t="n">
        <v>3.528</v>
      </c>
      <c r="G24" t="n">
        <v>0.338</v>
      </c>
      <c r="H24" t="n">
        <v>139</v>
      </c>
    </row>
    <row r="25">
      <c r="A25" t="inlineStr">
        <is>
          <t>BTC|Weekday|23</t>
        </is>
      </c>
      <c r="B25" t="inlineStr">
        <is>
          <t>BTC</t>
        </is>
      </c>
      <c r="C25" t="inlineStr">
        <is>
          <t>Weekday</t>
        </is>
      </c>
      <c r="D25" t="n">
        <v>23</v>
      </c>
      <c r="E25" t="n">
        <v>0.7003</v>
      </c>
      <c r="F25" t="n">
        <v>3.314</v>
      </c>
      <c r="G25" t="n">
        <v>0.298</v>
      </c>
      <c r="H25" t="n">
        <v>139</v>
      </c>
    </row>
    <row r="26">
      <c r="A26" t="inlineStr">
        <is>
          <t>BTC|Weekend|0</t>
        </is>
      </c>
      <c r="B26" t="inlineStr">
        <is>
          <t>BTC</t>
        </is>
      </c>
      <c r="C26" t="inlineStr">
        <is>
          <t>Weekend</t>
        </is>
      </c>
      <c r="D26" t="n">
        <v>0</v>
      </c>
      <c r="E26" t="n">
        <v>0.5926</v>
      </c>
      <c r="F26" t="n">
        <v>2.556</v>
      </c>
      <c r="G26" t="n">
        <v>0.222</v>
      </c>
      <c r="H26" t="n">
        <v>56</v>
      </c>
    </row>
    <row r="27">
      <c r="A27" t="inlineStr">
        <is>
          <t>BTC|Weekend|1</t>
        </is>
      </c>
      <c r="B27" t="inlineStr">
        <is>
          <t>BTC</t>
        </is>
      </c>
      <c r="C27" t="inlineStr">
        <is>
          <t>Weekend</t>
        </is>
      </c>
      <c r="D27" t="n">
        <v>1</v>
      </c>
      <c r="E27" t="n">
        <v>0.5677</v>
      </c>
      <c r="F27" t="n">
        <v>2.516</v>
      </c>
      <c r="G27" t="n">
        <v>0.248</v>
      </c>
      <c r="H27" t="n">
        <v>56</v>
      </c>
    </row>
    <row r="28">
      <c r="A28" t="inlineStr">
        <is>
          <t>BTC|Weekend|2</t>
        </is>
      </c>
      <c r="B28" t="inlineStr">
        <is>
          <t>BTC</t>
        </is>
      </c>
      <c r="C28" t="inlineStr">
        <is>
          <t>Weekend</t>
        </is>
      </c>
      <c r="D28" t="n">
        <v>2</v>
      </c>
      <c r="E28" t="n">
        <v>0.4751</v>
      </c>
      <c r="F28" t="n">
        <v>2.182</v>
      </c>
      <c r="G28" t="n">
        <v>0.253</v>
      </c>
      <c r="H28" t="n">
        <v>56</v>
      </c>
    </row>
    <row r="29">
      <c r="A29" t="inlineStr">
        <is>
          <t>BTC|Weekend|3</t>
        </is>
      </c>
      <c r="B29" t="inlineStr">
        <is>
          <t>BTC</t>
        </is>
      </c>
      <c r="C29" t="inlineStr">
        <is>
          <t>Weekend</t>
        </is>
      </c>
      <c r="D29" t="n">
        <v>3</v>
      </c>
      <c r="E29" t="n">
        <v>0.4369</v>
      </c>
      <c r="F29" t="n">
        <v>1.946</v>
      </c>
      <c r="G29" t="n">
        <v>0.256</v>
      </c>
      <c r="H29" t="n">
        <v>56</v>
      </c>
    </row>
    <row r="30">
      <c r="A30" t="inlineStr">
        <is>
          <t>BTC|Weekend|4</t>
        </is>
      </c>
      <c r="B30" t="inlineStr">
        <is>
          <t>BTC</t>
        </is>
      </c>
      <c r="C30" t="inlineStr">
        <is>
          <t>Weekend</t>
        </is>
      </c>
      <c r="D30" t="n">
        <v>4</v>
      </c>
      <c r="E30" t="n">
        <v>0.4359</v>
      </c>
      <c r="F30" t="n">
        <v>1.939</v>
      </c>
      <c r="G30" t="n">
        <v>0.219</v>
      </c>
      <c r="H30" t="n">
        <v>56</v>
      </c>
    </row>
    <row r="31">
      <c r="A31" t="inlineStr">
        <is>
          <t>BTC|Weekend|5</t>
        </is>
      </c>
      <c r="B31" t="inlineStr">
        <is>
          <t>BTC</t>
        </is>
      </c>
      <c r="C31" t="inlineStr">
        <is>
          <t>Weekend</t>
        </is>
      </c>
      <c r="D31" t="n">
        <v>5</v>
      </c>
      <c r="E31" t="n">
        <v>0.4523</v>
      </c>
      <c r="F31" t="n">
        <v>2.046</v>
      </c>
      <c r="G31" t="n">
        <v>0.203</v>
      </c>
      <c r="H31" t="n">
        <v>56</v>
      </c>
    </row>
    <row r="32">
      <c r="A32" t="inlineStr">
        <is>
          <t>BTC|Weekend|6</t>
        </is>
      </c>
      <c r="B32" t="inlineStr">
        <is>
          <t>BTC</t>
        </is>
      </c>
      <c r="C32" t="inlineStr">
        <is>
          <t>Weekend</t>
        </is>
      </c>
      <c r="D32" t="n">
        <v>6</v>
      </c>
      <c r="E32" t="n">
        <v>0.4739</v>
      </c>
      <c r="F32" t="n">
        <v>2.062</v>
      </c>
      <c r="G32" t="n">
        <v>0.195</v>
      </c>
      <c r="H32" t="n">
        <v>56</v>
      </c>
    </row>
    <row r="33">
      <c r="A33" t="inlineStr">
        <is>
          <t>BTC|Weekend|7</t>
        </is>
      </c>
      <c r="B33" t="inlineStr">
        <is>
          <t>BTC</t>
        </is>
      </c>
      <c r="C33" t="inlineStr">
        <is>
          <t>Weekend</t>
        </is>
      </c>
      <c r="D33" t="n">
        <v>7</v>
      </c>
      <c r="E33" t="n">
        <v>0.5169</v>
      </c>
      <c r="F33" t="n">
        <v>1.892</v>
      </c>
      <c r="G33" t="n">
        <v>0.167</v>
      </c>
      <c r="H33" t="n">
        <v>56</v>
      </c>
    </row>
    <row r="34">
      <c r="A34" t="inlineStr">
        <is>
          <t>BTC|Weekend|8</t>
        </is>
      </c>
      <c r="B34" t="inlineStr">
        <is>
          <t>BTC</t>
        </is>
      </c>
      <c r="C34" t="inlineStr">
        <is>
          <t>Weekend</t>
        </is>
      </c>
      <c r="D34" t="n">
        <v>8</v>
      </c>
      <c r="E34" t="n">
        <v>0.525</v>
      </c>
      <c r="F34" t="n">
        <v>2.075</v>
      </c>
      <c r="G34" t="n">
        <v>0.186</v>
      </c>
      <c r="H34" t="n">
        <v>56</v>
      </c>
    </row>
    <row r="35">
      <c r="A35" t="inlineStr">
        <is>
          <t>BTC|Weekend|9</t>
        </is>
      </c>
      <c r="B35" t="inlineStr">
        <is>
          <t>BTC</t>
        </is>
      </c>
      <c r="C35" t="inlineStr">
        <is>
          <t>Weekend</t>
        </is>
      </c>
      <c r="D35" t="n">
        <v>9</v>
      </c>
      <c r="E35" t="n">
        <v>0.4709</v>
      </c>
      <c r="F35" t="n">
        <v>2.095</v>
      </c>
      <c r="G35" t="n">
        <v>0.222</v>
      </c>
      <c r="H35" t="n">
        <v>56</v>
      </c>
    </row>
    <row r="36">
      <c r="A36" t="inlineStr">
        <is>
          <t>BTC|Weekend|10</t>
        </is>
      </c>
      <c r="B36" t="inlineStr">
        <is>
          <t>BTC</t>
        </is>
      </c>
      <c r="C36" t="inlineStr">
        <is>
          <t>Weekend</t>
        </is>
      </c>
      <c r="D36" t="n">
        <v>10</v>
      </c>
      <c r="E36" t="n">
        <v>0.4119</v>
      </c>
      <c r="F36" t="n">
        <v>1.936</v>
      </c>
      <c r="G36" t="n">
        <v>0.196</v>
      </c>
      <c r="H36" t="n">
        <v>56</v>
      </c>
    </row>
    <row r="37">
      <c r="A37" t="inlineStr">
        <is>
          <t>BTC|Weekend|11</t>
        </is>
      </c>
      <c r="B37" t="inlineStr">
        <is>
          <t>BTC</t>
        </is>
      </c>
      <c r="C37" t="inlineStr">
        <is>
          <t>Weekend</t>
        </is>
      </c>
      <c r="D37" t="n">
        <v>11</v>
      </c>
      <c r="E37" t="n">
        <v>0.3934</v>
      </c>
      <c r="F37" t="n">
        <v>2.042</v>
      </c>
      <c r="G37" t="n">
        <v>0.256</v>
      </c>
      <c r="H37" t="n">
        <v>56</v>
      </c>
    </row>
    <row r="38">
      <c r="A38" t="inlineStr">
        <is>
          <t>BTC|Weekend|12</t>
        </is>
      </c>
      <c r="B38" t="inlineStr">
        <is>
          <t>BTC</t>
        </is>
      </c>
      <c r="C38" t="inlineStr">
        <is>
          <t>Weekend</t>
        </is>
      </c>
      <c r="D38" t="n">
        <v>12</v>
      </c>
      <c r="E38" t="n">
        <v>0.5095</v>
      </c>
      <c r="F38" t="n">
        <v>2.27</v>
      </c>
      <c r="G38" t="n">
        <v>0.212</v>
      </c>
      <c r="H38" t="n">
        <v>56</v>
      </c>
    </row>
    <row r="39">
      <c r="A39" t="inlineStr">
        <is>
          <t>BTC|Weekend|13</t>
        </is>
      </c>
      <c r="B39" t="inlineStr">
        <is>
          <t>BTC</t>
        </is>
      </c>
      <c r="C39" t="inlineStr">
        <is>
          <t>Weekend</t>
        </is>
      </c>
      <c r="D39" t="n">
        <v>13</v>
      </c>
      <c r="E39" t="n">
        <v>0.5081</v>
      </c>
      <c r="F39" t="n">
        <v>2.642</v>
      </c>
      <c r="G39" t="n">
        <v>0.267</v>
      </c>
      <c r="H39" t="n">
        <v>56</v>
      </c>
    </row>
    <row r="40">
      <c r="A40" t="inlineStr">
        <is>
          <t>BTC|Weekend|14</t>
        </is>
      </c>
      <c r="B40" t="inlineStr">
        <is>
          <t>BTC</t>
        </is>
      </c>
      <c r="C40" t="inlineStr">
        <is>
          <t>Weekend</t>
        </is>
      </c>
      <c r="D40" t="n">
        <v>14</v>
      </c>
      <c r="E40" t="n">
        <v>0.633</v>
      </c>
      <c r="F40" t="n">
        <v>3.028</v>
      </c>
      <c r="G40" t="n">
        <v>0.235</v>
      </c>
      <c r="H40" t="n">
        <v>56</v>
      </c>
    </row>
    <row r="41">
      <c r="A41" t="inlineStr">
        <is>
          <t>BTC|Weekend|15</t>
        </is>
      </c>
      <c r="B41" t="inlineStr">
        <is>
          <t>BTC</t>
        </is>
      </c>
      <c r="C41" t="inlineStr">
        <is>
          <t>Weekend</t>
        </is>
      </c>
      <c r="D41" t="n">
        <v>15</v>
      </c>
      <c r="E41" t="n">
        <v>0.6161</v>
      </c>
      <c r="F41" t="n">
        <v>3.369</v>
      </c>
      <c r="G41" t="n">
        <v>0.261</v>
      </c>
      <c r="H41" t="n">
        <v>56</v>
      </c>
    </row>
    <row r="42">
      <c r="A42" t="inlineStr">
        <is>
          <t>BTC|Weekend|16</t>
        </is>
      </c>
      <c r="B42" t="inlineStr">
        <is>
          <t>BTC</t>
        </is>
      </c>
      <c r="C42" t="inlineStr">
        <is>
          <t>Weekend</t>
        </is>
      </c>
      <c r="D42" t="n">
        <v>16</v>
      </c>
      <c r="E42" t="n">
        <v>0.5785</v>
      </c>
      <c r="F42" t="n">
        <v>3.125</v>
      </c>
      <c r="G42" t="n">
        <v>0.31</v>
      </c>
      <c r="H42" t="n">
        <v>56</v>
      </c>
    </row>
    <row r="43">
      <c r="A43" t="inlineStr">
        <is>
          <t>BTC|Weekend|17</t>
        </is>
      </c>
      <c r="B43" t="inlineStr">
        <is>
          <t>BTC</t>
        </is>
      </c>
      <c r="C43" t="inlineStr">
        <is>
          <t>Weekend</t>
        </is>
      </c>
      <c r="D43" t="n">
        <v>17</v>
      </c>
      <c r="E43" t="n">
        <v>0.5564</v>
      </c>
      <c r="F43" t="n">
        <v>2.656</v>
      </c>
      <c r="G43" t="n">
        <v>0.308</v>
      </c>
      <c r="H43" t="n">
        <v>56</v>
      </c>
    </row>
    <row r="44">
      <c r="A44" t="inlineStr">
        <is>
          <t>BTC|Weekend|18</t>
        </is>
      </c>
      <c r="B44" t="inlineStr">
        <is>
          <t>BTC</t>
        </is>
      </c>
      <c r="C44" t="inlineStr">
        <is>
          <t>Weekend</t>
        </is>
      </c>
      <c r="D44" t="n">
        <v>18</v>
      </c>
      <c r="E44" t="n">
        <v>0.4696</v>
      </c>
      <c r="F44" t="n">
        <v>2.751</v>
      </c>
      <c r="G44" t="n">
        <v>0.311</v>
      </c>
      <c r="H44" t="n">
        <v>56</v>
      </c>
    </row>
    <row r="45">
      <c r="A45" t="inlineStr">
        <is>
          <t>BTC|Weekend|19</t>
        </is>
      </c>
      <c r="B45" t="inlineStr">
        <is>
          <t>BTC</t>
        </is>
      </c>
      <c r="C45" t="inlineStr">
        <is>
          <t>Weekend</t>
        </is>
      </c>
      <c r="D45" t="n">
        <v>19</v>
      </c>
      <c r="E45" t="n">
        <v>0.4554</v>
      </c>
      <c r="F45" t="n">
        <v>2.221</v>
      </c>
      <c r="G45" t="n">
        <v>0.326</v>
      </c>
      <c r="H45" t="n">
        <v>56</v>
      </c>
    </row>
    <row r="46">
      <c r="A46" t="inlineStr">
        <is>
          <t>BTC|Weekend|20</t>
        </is>
      </c>
      <c r="B46" t="inlineStr">
        <is>
          <t>BTC</t>
        </is>
      </c>
      <c r="C46" t="inlineStr">
        <is>
          <t>Weekend</t>
        </is>
      </c>
      <c r="D46" t="n">
        <v>20</v>
      </c>
      <c r="E46" t="n">
        <v>0.4173</v>
      </c>
      <c r="F46" t="n">
        <v>2.319</v>
      </c>
      <c r="G46" t="n">
        <v>0.348</v>
      </c>
      <c r="H46" t="n">
        <v>56</v>
      </c>
    </row>
    <row r="47">
      <c r="A47" t="inlineStr">
        <is>
          <t>BTC|Weekend|21</t>
        </is>
      </c>
      <c r="B47" t="inlineStr">
        <is>
          <t>BTC</t>
        </is>
      </c>
      <c r="C47" t="inlineStr">
        <is>
          <t>Weekend</t>
        </is>
      </c>
      <c r="D47" t="n">
        <v>21</v>
      </c>
      <c r="E47" t="n">
        <v>0.5776</v>
      </c>
      <c r="F47" t="n">
        <v>3.211</v>
      </c>
      <c r="G47" t="n">
        <v>0.315</v>
      </c>
      <c r="H47" t="n">
        <v>56</v>
      </c>
    </row>
    <row r="48">
      <c r="A48" t="inlineStr">
        <is>
          <t>BTC|Weekend|22</t>
        </is>
      </c>
      <c r="B48" t="inlineStr">
        <is>
          <t>BTC</t>
        </is>
      </c>
      <c r="C48" t="inlineStr">
        <is>
          <t>Weekend</t>
        </is>
      </c>
      <c r="D48" t="n">
        <v>22</v>
      </c>
      <c r="E48" t="n">
        <v>0.7943</v>
      </c>
      <c r="F48" t="n">
        <v>4.503</v>
      </c>
      <c r="G48" t="n">
        <v>0.303</v>
      </c>
      <c r="H48" t="n">
        <v>56</v>
      </c>
    </row>
    <row r="49">
      <c r="A49" t="inlineStr">
        <is>
          <t>BTC|Weekend|23</t>
        </is>
      </c>
      <c r="B49" t="inlineStr">
        <is>
          <t>BTC</t>
        </is>
      </c>
      <c r="C49" t="inlineStr">
        <is>
          <t>Weekend</t>
        </is>
      </c>
      <c r="D49" t="n">
        <v>23</v>
      </c>
      <c r="E49" t="n">
        <v>0.758</v>
      </c>
      <c r="F49" t="n">
        <v>3.765</v>
      </c>
      <c r="G49" t="n">
        <v>0.26</v>
      </c>
      <c r="H49" t="n">
        <v>56</v>
      </c>
    </row>
    <row r="50">
      <c r="A50" t="inlineStr">
        <is>
          <t>ETH|Weekday|0</t>
        </is>
      </c>
      <c r="B50" t="inlineStr">
        <is>
          <t>ETH</t>
        </is>
      </c>
      <c r="C50" t="inlineStr">
        <is>
          <t>Weekday</t>
        </is>
      </c>
      <c r="D50" t="n">
        <v>0</v>
      </c>
      <c r="E50" t="n">
        <v>0.3799</v>
      </c>
      <c r="F50" t="n">
        <v>5.947</v>
      </c>
      <c r="G50" t="n">
        <v>0.278</v>
      </c>
      <c r="H50" t="n">
        <v>139</v>
      </c>
    </row>
    <row r="51">
      <c r="A51" t="inlineStr">
        <is>
          <t>ETH|Weekday|1</t>
        </is>
      </c>
      <c r="B51" t="inlineStr">
        <is>
          <t>ETH</t>
        </is>
      </c>
      <c r="C51" t="inlineStr">
        <is>
          <t>Weekday</t>
        </is>
      </c>
      <c r="D51" t="n">
        <v>1</v>
      </c>
      <c r="E51" t="n">
        <v>0.4425</v>
      </c>
      <c r="F51" t="n">
        <v>6.509</v>
      </c>
      <c r="G51" t="n">
        <v>0.257</v>
      </c>
      <c r="H51" t="n">
        <v>139</v>
      </c>
    </row>
    <row r="52">
      <c r="A52" t="inlineStr">
        <is>
          <t>ETH|Weekday|2</t>
        </is>
      </c>
      <c r="B52" t="inlineStr">
        <is>
          <t>ETH</t>
        </is>
      </c>
      <c r="C52" t="inlineStr">
        <is>
          <t>Weekday</t>
        </is>
      </c>
      <c r="D52" t="n">
        <v>2</v>
      </c>
      <c r="E52" t="n">
        <v>0.4063</v>
      </c>
      <c r="F52" t="n">
        <v>5.627</v>
      </c>
      <c r="G52" t="n">
        <v>0.255</v>
      </c>
      <c r="H52" t="n">
        <v>139</v>
      </c>
    </row>
    <row r="53">
      <c r="A53" t="inlineStr">
        <is>
          <t>ETH|Weekday|3</t>
        </is>
      </c>
      <c r="B53" t="inlineStr">
        <is>
          <t>ETH</t>
        </is>
      </c>
      <c r="C53" t="inlineStr">
        <is>
          <t>Weekday</t>
        </is>
      </c>
      <c r="D53" t="n">
        <v>3</v>
      </c>
      <c r="E53" t="n">
        <v>0.3597</v>
      </c>
      <c r="F53" t="n">
        <v>4.77</v>
      </c>
      <c r="G53" t="n">
        <v>0.234</v>
      </c>
      <c r="H53" t="n">
        <v>139</v>
      </c>
    </row>
    <row r="54">
      <c r="A54" t="inlineStr">
        <is>
          <t>ETH|Weekday|4</t>
        </is>
      </c>
      <c r="B54" t="inlineStr">
        <is>
          <t>ETH</t>
        </is>
      </c>
      <c r="C54" t="inlineStr">
        <is>
          <t>Weekday</t>
        </is>
      </c>
      <c r="D54" t="n">
        <v>4</v>
      </c>
      <c r="E54" t="n">
        <v>0.341</v>
      </c>
      <c r="F54" t="n">
        <v>4.469</v>
      </c>
      <c r="G54" t="n">
        <v>0.233</v>
      </c>
      <c r="H54" t="n">
        <v>139</v>
      </c>
    </row>
    <row r="55">
      <c r="A55" t="inlineStr">
        <is>
          <t>ETH|Weekday|5</t>
        </is>
      </c>
      <c r="B55" t="inlineStr">
        <is>
          <t>ETH</t>
        </is>
      </c>
      <c r="C55" t="inlineStr">
        <is>
          <t>Weekday</t>
        </is>
      </c>
      <c r="D55" t="n">
        <v>5</v>
      </c>
      <c r="E55" t="n">
        <v>0.372</v>
      </c>
      <c r="F55" t="n">
        <v>4.73</v>
      </c>
      <c r="G55" t="n">
        <v>0.233</v>
      </c>
      <c r="H55" t="n">
        <v>139</v>
      </c>
    </row>
    <row r="56">
      <c r="A56" t="inlineStr">
        <is>
          <t>ETH|Weekday|6</t>
        </is>
      </c>
      <c r="B56" t="inlineStr">
        <is>
          <t>ETH</t>
        </is>
      </c>
      <c r="C56" t="inlineStr">
        <is>
          <t>Weekday</t>
        </is>
      </c>
      <c r="D56" t="n">
        <v>6</v>
      </c>
      <c r="E56" t="n">
        <v>0.3998</v>
      </c>
      <c r="F56" t="n">
        <v>4.726</v>
      </c>
      <c r="G56" t="n">
        <v>0.213</v>
      </c>
      <c r="H56" t="n">
        <v>139</v>
      </c>
    </row>
    <row r="57">
      <c r="A57" t="inlineStr">
        <is>
          <t>ETH|Weekday|7</t>
        </is>
      </c>
      <c r="B57" t="inlineStr">
        <is>
          <t>ETH</t>
        </is>
      </c>
      <c r="C57" t="inlineStr">
        <is>
          <t>Weekday</t>
        </is>
      </c>
      <c r="D57" t="n">
        <v>7</v>
      </c>
      <c r="E57" t="n">
        <v>0.4635</v>
      </c>
      <c r="F57" t="n">
        <v>4.927</v>
      </c>
      <c r="G57" t="n">
        <v>0.189</v>
      </c>
      <c r="H57" t="n">
        <v>139</v>
      </c>
    </row>
    <row r="58">
      <c r="A58" t="inlineStr">
        <is>
          <t>ETH|Weekday|8</t>
        </is>
      </c>
      <c r="B58" t="inlineStr">
        <is>
          <t>ETH</t>
        </is>
      </c>
      <c r="C58" t="inlineStr">
        <is>
          <t>Weekday</t>
        </is>
      </c>
      <c r="D58" t="n">
        <v>8</v>
      </c>
      <c r="E58" t="n">
        <v>0.5255</v>
      </c>
      <c r="F58" t="n">
        <v>5.093</v>
      </c>
      <c r="G58" t="n">
        <v>0.255</v>
      </c>
      <c r="H58" t="n">
        <v>139</v>
      </c>
    </row>
    <row r="59">
      <c r="A59" t="inlineStr">
        <is>
          <t>ETH|Weekday|9</t>
        </is>
      </c>
      <c r="B59" t="inlineStr">
        <is>
          <t>ETH</t>
        </is>
      </c>
      <c r="C59" t="inlineStr">
        <is>
          <t>Weekday</t>
        </is>
      </c>
      <c r="D59" t="n">
        <v>9</v>
      </c>
      <c r="E59" t="n">
        <v>0.4115</v>
      </c>
      <c r="F59" t="n">
        <v>4.758</v>
      </c>
      <c r="G59" t="n">
        <v>0.231</v>
      </c>
      <c r="H59" t="n">
        <v>139</v>
      </c>
    </row>
    <row r="60">
      <c r="A60" t="inlineStr">
        <is>
          <t>ETH|Weekday|10</t>
        </is>
      </c>
      <c r="B60" t="inlineStr">
        <is>
          <t>ETH</t>
        </is>
      </c>
      <c r="C60" t="inlineStr">
        <is>
          <t>Weekday</t>
        </is>
      </c>
      <c r="D60" t="n">
        <v>10</v>
      </c>
      <c r="E60" t="n">
        <v>0.3956</v>
      </c>
      <c r="F60" t="n">
        <v>4.669</v>
      </c>
      <c r="G60" t="n">
        <v>0.238</v>
      </c>
      <c r="H60" t="n">
        <v>139</v>
      </c>
    </row>
    <row r="61">
      <c r="A61" t="inlineStr">
        <is>
          <t>ETH|Weekday|11</t>
        </is>
      </c>
      <c r="B61" t="inlineStr">
        <is>
          <t>ETH</t>
        </is>
      </c>
      <c r="C61" t="inlineStr">
        <is>
          <t>Weekday</t>
        </is>
      </c>
      <c r="D61" t="n">
        <v>11</v>
      </c>
      <c r="E61" t="n">
        <v>0.4101</v>
      </c>
      <c r="F61" t="n">
        <v>4.768</v>
      </c>
      <c r="G61" t="n">
        <v>0.278</v>
      </c>
      <c r="H61" t="n">
        <v>139</v>
      </c>
    </row>
    <row r="62">
      <c r="A62" t="inlineStr">
        <is>
          <t>ETH|Weekday|12</t>
        </is>
      </c>
      <c r="B62" t="inlineStr">
        <is>
          <t>ETH</t>
        </is>
      </c>
      <c r="C62" t="inlineStr">
        <is>
          <t>Weekday</t>
        </is>
      </c>
      <c r="D62" t="n">
        <v>12</v>
      </c>
      <c r="E62" t="n">
        <v>0.6673</v>
      </c>
      <c r="F62" t="n">
        <v>6.23</v>
      </c>
      <c r="G62" t="n">
        <v>0.281</v>
      </c>
      <c r="H62" t="n">
        <v>139</v>
      </c>
    </row>
    <row r="63">
      <c r="A63" t="inlineStr">
        <is>
          <t>ETH|Weekday|13</t>
        </is>
      </c>
      <c r="B63" t="inlineStr">
        <is>
          <t>ETH</t>
        </is>
      </c>
      <c r="C63" t="inlineStr">
        <is>
          <t>Weekday</t>
        </is>
      </c>
      <c r="D63" t="n">
        <v>13</v>
      </c>
      <c r="E63" t="n">
        <v>1.0107</v>
      </c>
      <c r="F63" t="n">
        <v>9.037000000000001</v>
      </c>
      <c r="G63" t="n">
        <v>0.336</v>
      </c>
      <c r="H63" t="n">
        <v>139</v>
      </c>
    </row>
    <row r="64">
      <c r="A64" t="inlineStr">
        <is>
          <t>ETH|Weekday|14</t>
        </is>
      </c>
      <c r="B64" t="inlineStr">
        <is>
          <t>ETH</t>
        </is>
      </c>
      <c r="C64" t="inlineStr">
        <is>
          <t>Weekday</t>
        </is>
      </c>
      <c r="D64" t="n">
        <v>14</v>
      </c>
      <c r="E64" t="n">
        <v>1.1161</v>
      </c>
      <c r="F64" t="n">
        <v>9.898999999999999</v>
      </c>
      <c r="G64" t="n">
        <v>0.334</v>
      </c>
      <c r="H64" t="n">
        <v>139</v>
      </c>
    </row>
    <row r="65">
      <c r="A65" t="inlineStr">
        <is>
          <t>ETH|Weekday|15</t>
        </is>
      </c>
      <c r="B65" t="inlineStr">
        <is>
          <t>ETH</t>
        </is>
      </c>
      <c r="C65" t="inlineStr">
        <is>
          <t>Weekday</t>
        </is>
      </c>
      <c r="D65" t="n">
        <v>15</v>
      </c>
      <c r="E65" t="n">
        <v>0.9612000000000001</v>
      </c>
      <c r="F65" t="n">
        <v>8.298</v>
      </c>
      <c r="G65" t="n">
        <v>0.317</v>
      </c>
      <c r="H65" t="n">
        <v>139</v>
      </c>
    </row>
    <row r="66">
      <c r="A66" t="inlineStr">
        <is>
          <t>ETH|Weekday|16</t>
        </is>
      </c>
      <c r="B66" t="inlineStr">
        <is>
          <t>ETH</t>
        </is>
      </c>
      <c r="C66" t="inlineStr">
        <is>
          <t>Weekday</t>
        </is>
      </c>
      <c r="D66" t="n">
        <v>16</v>
      </c>
      <c r="E66" t="n">
        <v>0.7862</v>
      </c>
      <c r="F66" t="n">
        <v>6.854</v>
      </c>
      <c r="G66" t="n">
        <v>0.315</v>
      </c>
      <c r="H66" t="n">
        <v>139</v>
      </c>
    </row>
    <row r="67">
      <c r="A67" t="inlineStr">
        <is>
          <t>ETH|Weekday|17</t>
        </is>
      </c>
      <c r="B67" t="inlineStr">
        <is>
          <t>ETH</t>
        </is>
      </c>
      <c r="C67" t="inlineStr">
        <is>
          <t>Weekday</t>
        </is>
      </c>
      <c r="D67" t="n">
        <v>17</v>
      </c>
      <c r="E67" t="n">
        <v>0.6837</v>
      </c>
      <c r="F67" t="n">
        <v>6.905</v>
      </c>
      <c r="G67" t="n">
        <v>0.354</v>
      </c>
      <c r="H67" t="n">
        <v>139</v>
      </c>
    </row>
    <row r="68">
      <c r="A68" t="inlineStr">
        <is>
          <t>ETH|Weekday|18</t>
        </is>
      </c>
      <c r="B68" t="inlineStr">
        <is>
          <t>ETH</t>
        </is>
      </c>
      <c r="C68" t="inlineStr">
        <is>
          <t>Weekday</t>
        </is>
      </c>
      <c r="D68" t="n">
        <v>18</v>
      </c>
      <c r="E68" t="n">
        <v>0.5553</v>
      </c>
      <c r="F68" t="n">
        <v>5.979</v>
      </c>
      <c r="G68" t="n">
        <v>0.348</v>
      </c>
      <c r="H68" t="n">
        <v>139</v>
      </c>
    </row>
    <row r="69">
      <c r="A69" t="inlineStr">
        <is>
          <t>ETH|Weekday|19</t>
        </is>
      </c>
      <c r="B69" t="inlineStr">
        <is>
          <t>ETH</t>
        </is>
      </c>
      <c r="C69" t="inlineStr">
        <is>
          <t>Weekday</t>
        </is>
      </c>
      <c r="D69" t="n">
        <v>19</v>
      </c>
      <c r="E69" t="n">
        <v>0.5818</v>
      </c>
      <c r="F69" t="n">
        <v>5.267</v>
      </c>
      <c r="G69" t="n">
        <v>0.405</v>
      </c>
      <c r="H69" t="n">
        <v>139</v>
      </c>
    </row>
    <row r="70">
      <c r="A70" t="inlineStr">
        <is>
          <t>ETH|Weekday|20</t>
        </is>
      </c>
      <c r="B70" t="inlineStr">
        <is>
          <t>ETH</t>
        </is>
      </c>
      <c r="C70" t="inlineStr">
        <is>
          <t>Weekday</t>
        </is>
      </c>
      <c r="D70" t="n">
        <v>20</v>
      </c>
      <c r="E70" t="n">
        <v>0.3915</v>
      </c>
      <c r="F70" t="n">
        <v>4.783</v>
      </c>
      <c r="G70" t="n">
        <v>0.358</v>
      </c>
      <c r="H70" t="n">
        <v>139</v>
      </c>
    </row>
    <row r="71">
      <c r="A71" t="inlineStr">
        <is>
          <t>ETH|Weekday|21</t>
        </is>
      </c>
      <c r="B71" t="inlineStr">
        <is>
          <t>ETH</t>
        </is>
      </c>
      <c r="C71" t="inlineStr">
        <is>
          <t>Weekday</t>
        </is>
      </c>
      <c r="D71" t="n">
        <v>21</v>
      </c>
      <c r="E71" t="n">
        <v>0.3371</v>
      </c>
      <c r="F71" t="n">
        <v>4.359</v>
      </c>
      <c r="G71" t="n">
        <v>0.284</v>
      </c>
      <c r="H71" t="n">
        <v>139</v>
      </c>
    </row>
    <row r="72">
      <c r="A72" t="inlineStr">
        <is>
          <t>ETH|Weekday|22</t>
        </is>
      </c>
      <c r="B72" t="inlineStr">
        <is>
          <t>ETH</t>
        </is>
      </c>
      <c r="C72" t="inlineStr">
        <is>
          <t>Weekday</t>
        </is>
      </c>
      <c r="D72" t="n">
        <v>22</v>
      </c>
      <c r="E72" t="n">
        <v>0.3271</v>
      </c>
      <c r="F72" t="n">
        <v>4.671</v>
      </c>
      <c r="G72" t="n">
        <v>0.311</v>
      </c>
      <c r="H72" t="n">
        <v>139</v>
      </c>
    </row>
    <row r="73">
      <c r="A73" t="inlineStr">
        <is>
          <t>ETH|Weekday|23</t>
        </is>
      </c>
      <c r="B73" t="inlineStr">
        <is>
          <t>ETH</t>
        </is>
      </c>
      <c r="C73" t="inlineStr">
        <is>
          <t>Weekday</t>
        </is>
      </c>
      <c r="D73" t="n">
        <v>23</v>
      </c>
      <c r="E73" t="n">
        <v>0.2923</v>
      </c>
      <c r="F73" t="n">
        <v>4.411</v>
      </c>
      <c r="G73" t="n">
        <v>0.31</v>
      </c>
      <c r="H73" t="n">
        <v>139</v>
      </c>
    </row>
    <row r="74">
      <c r="A74" t="inlineStr">
        <is>
          <t>ETH|Weekend|0</t>
        </is>
      </c>
      <c r="B74" t="inlineStr">
        <is>
          <t>ETH</t>
        </is>
      </c>
      <c r="C74" t="inlineStr">
        <is>
          <t>Weekend</t>
        </is>
      </c>
      <c r="D74" t="n">
        <v>0</v>
      </c>
      <c r="E74" t="n">
        <v>0.2021</v>
      </c>
      <c r="F74" t="n">
        <v>3.397</v>
      </c>
      <c r="G74" t="n">
        <v>0.271</v>
      </c>
      <c r="H74" t="n">
        <v>56</v>
      </c>
    </row>
    <row r="75">
      <c r="A75" t="inlineStr">
        <is>
          <t>ETH|Weekend|1</t>
        </is>
      </c>
      <c r="B75" t="inlineStr">
        <is>
          <t>ETH</t>
        </is>
      </c>
      <c r="C75" t="inlineStr">
        <is>
          <t>Weekend</t>
        </is>
      </c>
      <c r="D75" t="n">
        <v>1</v>
      </c>
      <c r="E75" t="n">
        <v>0.2391</v>
      </c>
      <c r="F75" t="n">
        <v>3.544</v>
      </c>
      <c r="G75" t="n">
        <v>0.228</v>
      </c>
      <c r="H75" t="n">
        <v>56</v>
      </c>
    </row>
    <row r="76">
      <c r="A76" t="inlineStr">
        <is>
          <t>ETH|Weekend|2</t>
        </is>
      </c>
      <c r="B76" t="inlineStr">
        <is>
          <t>ETH</t>
        </is>
      </c>
      <c r="C76" t="inlineStr">
        <is>
          <t>Weekend</t>
        </is>
      </c>
      <c r="D76" t="n">
        <v>2</v>
      </c>
      <c r="E76" t="n">
        <v>0.1878</v>
      </c>
      <c r="F76" t="n">
        <v>3.046</v>
      </c>
      <c r="G76" t="n">
        <v>0.243</v>
      </c>
      <c r="H76" t="n">
        <v>56</v>
      </c>
    </row>
    <row r="77">
      <c r="A77" t="inlineStr">
        <is>
          <t>ETH|Weekend|3</t>
        </is>
      </c>
      <c r="B77" t="inlineStr">
        <is>
          <t>ETH</t>
        </is>
      </c>
      <c r="C77" t="inlineStr">
        <is>
          <t>Weekend</t>
        </is>
      </c>
      <c r="D77" t="n">
        <v>3</v>
      </c>
      <c r="E77" t="n">
        <v>0.1865</v>
      </c>
      <c r="F77" t="n">
        <v>2.894</v>
      </c>
      <c r="G77" t="n">
        <v>0.202</v>
      </c>
      <c r="H77" t="n">
        <v>56</v>
      </c>
    </row>
    <row r="78">
      <c r="A78" t="inlineStr">
        <is>
          <t>ETH|Weekend|4</t>
        </is>
      </c>
      <c r="B78" t="inlineStr">
        <is>
          <t>ETH</t>
        </is>
      </c>
      <c r="C78" t="inlineStr">
        <is>
          <t>Weekend</t>
        </is>
      </c>
      <c r="D78" t="n">
        <v>4</v>
      </c>
      <c r="E78" t="n">
        <v>0.175</v>
      </c>
      <c r="F78" t="n">
        <v>2.696</v>
      </c>
      <c r="G78" t="n">
        <v>0.238</v>
      </c>
      <c r="H78" t="n">
        <v>56</v>
      </c>
    </row>
    <row r="79">
      <c r="A79" t="inlineStr">
        <is>
          <t>ETH|Weekend|5</t>
        </is>
      </c>
      <c r="B79" t="inlineStr">
        <is>
          <t>ETH</t>
        </is>
      </c>
      <c r="C79" t="inlineStr">
        <is>
          <t>Weekend</t>
        </is>
      </c>
      <c r="D79" t="n">
        <v>5</v>
      </c>
      <c r="E79" t="n">
        <v>0.1805</v>
      </c>
      <c r="F79" t="n">
        <v>2.669</v>
      </c>
      <c r="G79" t="n">
        <v>0.19</v>
      </c>
      <c r="H79" t="n">
        <v>56</v>
      </c>
    </row>
    <row r="80">
      <c r="A80" t="inlineStr">
        <is>
          <t>ETH|Weekend|6</t>
        </is>
      </c>
      <c r="B80" t="inlineStr">
        <is>
          <t>ETH</t>
        </is>
      </c>
      <c r="C80" t="inlineStr">
        <is>
          <t>Weekend</t>
        </is>
      </c>
      <c r="D80" t="n">
        <v>6</v>
      </c>
      <c r="E80" t="n">
        <v>0.1988</v>
      </c>
      <c r="F80" t="n">
        <v>2.725</v>
      </c>
      <c r="G80" t="n">
        <v>0.172</v>
      </c>
      <c r="H80" t="n">
        <v>56</v>
      </c>
    </row>
    <row r="81">
      <c r="A81" t="inlineStr">
        <is>
          <t>ETH|Weekend|7</t>
        </is>
      </c>
      <c r="B81" t="inlineStr">
        <is>
          <t>ETH</t>
        </is>
      </c>
      <c r="C81" t="inlineStr">
        <is>
          <t>Weekend</t>
        </is>
      </c>
      <c r="D81" t="n">
        <v>7</v>
      </c>
      <c r="E81" t="n">
        <v>0.1795</v>
      </c>
      <c r="F81" t="n">
        <v>2.479</v>
      </c>
      <c r="G81" t="n">
        <v>0.177</v>
      </c>
      <c r="H81" t="n">
        <v>56</v>
      </c>
    </row>
    <row r="82">
      <c r="A82" t="inlineStr">
        <is>
          <t>ETH|Weekend|8</t>
        </is>
      </c>
      <c r="B82" t="inlineStr">
        <is>
          <t>ETH</t>
        </is>
      </c>
      <c r="C82" t="inlineStr">
        <is>
          <t>Weekend</t>
        </is>
      </c>
      <c r="D82" t="n">
        <v>8</v>
      </c>
      <c r="E82" t="n">
        <v>0.1927</v>
      </c>
      <c r="F82" t="n">
        <v>2.806</v>
      </c>
      <c r="G82" t="n">
        <v>0.161</v>
      </c>
      <c r="H82" t="n">
        <v>56</v>
      </c>
    </row>
    <row r="83">
      <c r="A83" t="inlineStr">
        <is>
          <t>ETH|Weekend|9</t>
        </is>
      </c>
      <c r="B83" t="inlineStr">
        <is>
          <t>ETH</t>
        </is>
      </c>
      <c r="C83" t="inlineStr">
        <is>
          <t>Weekend</t>
        </is>
      </c>
      <c r="D83" t="n">
        <v>9</v>
      </c>
      <c r="E83" t="n">
        <v>0.1915</v>
      </c>
      <c r="F83" t="n">
        <v>3.074</v>
      </c>
      <c r="G83" t="n">
        <v>0.18</v>
      </c>
      <c r="H83" t="n">
        <v>56</v>
      </c>
    </row>
    <row r="84">
      <c r="A84" t="inlineStr">
        <is>
          <t>ETH|Weekend|10</t>
        </is>
      </c>
      <c r="B84" t="inlineStr">
        <is>
          <t>ETH</t>
        </is>
      </c>
      <c r="C84" t="inlineStr">
        <is>
          <t>Weekend</t>
        </is>
      </c>
      <c r="D84" t="n">
        <v>10</v>
      </c>
      <c r="E84" t="n">
        <v>0.185</v>
      </c>
      <c r="F84" t="n">
        <v>2.691</v>
      </c>
      <c r="G84" t="n">
        <v>0.239</v>
      </c>
      <c r="H84" t="n">
        <v>56</v>
      </c>
    </row>
    <row r="85">
      <c r="A85" t="inlineStr">
        <is>
          <t>ETH|Weekend|11</t>
        </is>
      </c>
      <c r="B85" t="inlineStr">
        <is>
          <t>ETH</t>
        </is>
      </c>
      <c r="C85" t="inlineStr">
        <is>
          <t>Weekend</t>
        </is>
      </c>
      <c r="D85" t="n">
        <v>11</v>
      </c>
      <c r="E85" t="n">
        <v>0.1608</v>
      </c>
      <c r="F85" t="n">
        <v>2.753</v>
      </c>
      <c r="G85" t="n">
        <v>0.205</v>
      </c>
      <c r="H85" t="n">
        <v>56</v>
      </c>
    </row>
    <row r="86">
      <c r="A86" t="inlineStr">
        <is>
          <t>ETH|Weekend|12</t>
        </is>
      </c>
      <c r="B86" t="inlineStr">
        <is>
          <t>ETH</t>
        </is>
      </c>
      <c r="C86" t="inlineStr">
        <is>
          <t>Weekend</t>
        </is>
      </c>
      <c r="D86" t="n">
        <v>12</v>
      </c>
      <c r="E86" t="n">
        <v>0.2166</v>
      </c>
      <c r="F86" t="n">
        <v>2.918</v>
      </c>
      <c r="G86" t="n">
        <v>0.197</v>
      </c>
      <c r="H86" t="n">
        <v>56</v>
      </c>
    </row>
    <row r="87">
      <c r="A87" t="inlineStr">
        <is>
          <t>ETH|Weekend|13</t>
        </is>
      </c>
      <c r="B87" t="inlineStr">
        <is>
          <t>ETH</t>
        </is>
      </c>
      <c r="C87" t="inlineStr">
        <is>
          <t>Weekend</t>
        </is>
      </c>
      <c r="D87" t="n">
        <v>13</v>
      </c>
      <c r="E87" t="n">
        <v>0.2467</v>
      </c>
      <c r="F87" t="n">
        <v>3.704</v>
      </c>
      <c r="G87" t="n">
        <v>0.2</v>
      </c>
      <c r="H87" t="n">
        <v>56</v>
      </c>
    </row>
    <row r="88">
      <c r="A88" t="inlineStr">
        <is>
          <t>ETH|Weekend|14</t>
        </is>
      </c>
      <c r="B88" t="inlineStr">
        <is>
          <t>ETH</t>
        </is>
      </c>
      <c r="C88" t="inlineStr">
        <is>
          <t>Weekend</t>
        </is>
      </c>
      <c r="D88" t="n">
        <v>14</v>
      </c>
      <c r="E88" t="n">
        <v>0.3566</v>
      </c>
      <c r="F88" t="n">
        <v>4.394</v>
      </c>
      <c r="G88" t="n">
        <v>0.171</v>
      </c>
      <c r="H88" t="n">
        <v>56</v>
      </c>
    </row>
    <row r="89">
      <c r="A89" t="inlineStr">
        <is>
          <t>ETH|Weekend|15</t>
        </is>
      </c>
      <c r="B89" t="inlineStr">
        <is>
          <t>ETH</t>
        </is>
      </c>
      <c r="C89" t="inlineStr">
        <is>
          <t>Weekend</t>
        </is>
      </c>
      <c r="D89" t="n">
        <v>15</v>
      </c>
      <c r="E89" t="n">
        <v>0.3639</v>
      </c>
      <c r="F89" t="n">
        <v>4.324</v>
      </c>
      <c r="G89" t="n">
        <v>0.224</v>
      </c>
      <c r="H89" t="n">
        <v>56</v>
      </c>
    </row>
    <row r="90">
      <c r="A90" t="inlineStr">
        <is>
          <t>ETH|Weekend|16</t>
        </is>
      </c>
      <c r="B90" t="inlineStr">
        <is>
          <t>ETH</t>
        </is>
      </c>
      <c r="C90" t="inlineStr">
        <is>
          <t>Weekend</t>
        </is>
      </c>
      <c r="D90" t="n">
        <v>16</v>
      </c>
      <c r="E90" t="n">
        <v>0.3408</v>
      </c>
      <c r="F90" t="n">
        <v>4.046</v>
      </c>
      <c r="G90" t="n">
        <v>0.241</v>
      </c>
      <c r="H90" t="n">
        <v>56</v>
      </c>
    </row>
    <row r="91">
      <c r="A91" t="inlineStr">
        <is>
          <t>ETH|Weekend|17</t>
        </is>
      </c>
      <c r="B91" t="inlineStr">
        <is>
          <t>ETH</t>
        </is>
      </c>
      <c r="C91" t="inlineStr">
        <is>
          <t>Weekend</t>
        </is>
      </c>
      <c r="D91" t="n">
        <v>17</v>
      </c>
      <c r="E91" t="n">
        <v>0.2745</v>
      </c>
      <c r="F91" t="n">
        <v>4.242</v>
      </c>
      <c r="G91" t="n">
        <v>0.258</v>
      </c>
      <c r="H91" t="n">
        <v>56</v>
      </c>
    </row>
    <row r="92">
      <c r="A92" t="inlineStr">
        <is>
          <t>ETH|Weekend|18</t>
        </is>
      </c>
      <c r="B92" t="inlineStr">
        <is>
          <t>ETH</t>
        </is>
      </c>
      <c r="C92" t="inlineStr">
        <is>
          <t>Weekend</t>
        </is>
      </c>
      <c r="D92" t="n">
        <v>18</v>
      </c>
      <c r="E92" t="n">
        <v>0.3045</v>
      </c>
      <c r="F92" t="n">
        <v>3.644</v>
      </c>
      <c r="G92" t="n">
        <v>0.228</v>
      </c>
      <c r="H92" t="n">
        <v>56</v>
      </c>
    </row>
    <row r="93">
      <c r="A93" t="inlineStr">
        <is>
          <t>ETH|Weekend|19</t>
        </is>
      </c>
      <c r="B93" t="inlineStr">
        <is>
          <t>ETH</t>
        </is>
      </c>
      <c r="C93" t="inlineStr">
        <is>
          <t>Weekend</t>
        </is>
      </c>
      <c r="D93" t="n">
        <v>19</v>
      </c>
      <c r="E93" t="n">
        <v>0.2455</v>
      </c>
      <c r="F93" t="n">
        <v>3.307</v>
      </c>
      <c r="G93" t="n">
        <v>0.255</v>
      </c>
      <c r="H93" t="n">
        <v>56</v>
      </c>
    </row>
    <row r="94">
      <c r="A94" t="inlineStr">
        <is>
          <t>ETH|Weekend|20</t>
        </is>
      </c>
      <c r="B94" t="inlineStr">
        <is>
          <t>ETH</t>
        </is>
      </c>
      <c r="C94" t="inlineStr">
        <is>
          <t>Weekend</t>
        </is>
      </c>
      <c r="D94" t="n">
        <v>20</v>
      </c>
      <c r="E94" t="n">
        <v>0.2261</v>
      </c>
      <c r="F94" t="n">
        <v>3.169</v>
      </c>
      <c r="G94" t="n">
        <v>0.25</v>
      </c>
      <c r="H94" t="n">
        <v>56</v>
      </c>
    </row>
    <row r="95">
      <c r="A95" t="inlineStr">
        <is>
          <t>ETH|Weekend|21</t>
        </is>
      </c>
      <c r="B95" t="inlineStr">
        <is>
          <t>ETH</t>
        </is>
      </c>
      <c r="C95" t="inlineStr">
        <is>
          <t>Weekend</t>
        </is>
      </c>
      <c r="D95" t="n">
        <v>21</v>
      </c>
      <c r="E95" t="n">
        <v>0.2924</v>
      </c>
      <c r="F95" t="n">
        <v>4.616</v>
      </c>
      <c r="G95" t="n">
        <v>0.265</v>
      </c>
      <c r="H95" t="n">
        <v>56</v>
      </c>
    </row>
    <row r="96">
      <c r="A96" t="inlineStr">
        <is>
          <t>ETH|Weekend|22</t>
        </is>
      </c>
      <c r="B96" t="inlineStr">
        <is>
          <t>ETH</t>
        </is>
      </c>
      <c r="C96" t="inlineStr">
        <is>
          <t>Weekend</t>
        </is>
      </c>
      <c r="D96" t="n">
        <v>22</v>
      </c>
      <c r="E96" t="n">
        <v>0.4214</v>
      </c>
      <c r="F96" t="n">
        <v>6.383</v>
      </c>
      <c r="G96" t="n">
        <v>0.225</v>
      </c>
      <c r="H96" t="n">
        <v>56</v>
      </c>
    </row>
    <row r="97">
      <c r="A97" t="inlineStr">
        <is>
          <t>ETH|Weekend|23</t>
        </is>
      </c>
      <c r="B97" t="inlineStr">
        <is>
          <t>ETH</t>
        </is>
      </c>
      <c r="C97" t="inlineStr">
        <is>
          <t>Weekend</t>
        </is>
      </c>
      <c r="D97" t="n">
        <v>23</v>
      </c>
      <c r="E97" t="n">
        <v>0.3324</v>
      </c>
      <c r="F97" t="n">
        <v>4.984</v>
      </c>
      <c r="G97" t="n">
        <v>0.237</v>
      </c>
      <c r="H97" t="n">
        <v>56</v>
      </c>
    </row>
    <row r="99">
      <c r="A99" s="2" t="inlineStr">
        <is>
          <t>Median over days of the hourly mean of Binance + Coinbase volume (M$ per minute) and of the RMS 1-minute log return (bps). 1 Apr to 12 Oct 2026.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read this workbook</t>
        </is>
      </c>
    </row>
    <row r="2">
      <c r="A2" s="15" t="inlineStr">
        <is>
          <t>Pricer: one client request in, one quote out. Change the yellow cells.</t>
        </is>
      </c>
    </row>
    <row r="3">
      <c r="A3" s="15" t="inlineStr">
        <is>
          <t>Quote grid: the same quote for every measured size and session.</t>
        </is>
      </c>
    </row>
    <row r="4">
      <c r="A4" s="15" t="inlineStr">
        <is>
          <t>Cost of waiting: what the desk would risk by working the clip at a share of volume instead of sweeping.</t>
        </is>
      </c>
    </row>
    <row r="5">
      <c r="A5" s="15" t="inlineStr"/>
    </row>
    <row r="6">
      <c r="A6" s="3" t="inlineStr">
        <is>
          <t>Data</t>
        </is>
      </c>
    </row>
    <row r="7">
      <c r="A7" s="15" t="inlineStr">
        <is>
          <t>Sweep costs: 301 one-minute snapshots of the Binance (BTCUSDT, ETHUSDT), Coinbase and Kraken (BTC-USD, ETH-USD) books, 12 Oct 17:23 to 13 Oct 09:28 UTC.</t>
        </is>
      </c>
    </row>
    <row r="8">
      <c r="A8" s="15" t="inlineStr">
        <is>
          <t>Liquidity clock: Binance and Coinbase 1-minute candles, 1 April to 12 October 2026.</t>
        </is>
      </c>
    </row>
    <row r="9">
      <c r="A9" s="15" t="inlineStr">
        <is>
          <t>Costs are in bps of each venue's own mid, so the USDT/USD basis between Binance and the USD venues cancels out.</t>
        </is>
      </c>
    </row>
    <row r="10">
      <c r="A10" s="15" t="inlineStr"/>
    </row>
    <row r="11">
      <c r="A11" s="3" t="inlineStr">
        <is>
          <t>Limits</t>
        </is>
      </c>
    </row>
    <row r="12">
      <c r="A12" s="15" t="inlineStr">
        <is>
          <t>Displayed liquidity only: no hidden orders, no book refill after a sweep, no fees, no market-maker fade.</t>
        </is>
      </c>
    </row>
    <row r="13">
      <c r="A13" s="15" t="inlineStr">
        <is>
          <t>Asia was not measured in the books; for those hours the Pricer uses all measured minutes.</t>
        </is>
      </c>
    </row>
    <row r="14">
      <c r="A14" s="15" t="inlineStr">
        <is>
          <t>Volume excludes Kraken and every other venue, so the time to work a clip is conservative.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2026-10-13T09:28:11Z</dcterms:created>
  <dcterms:modified xmlns:dcterms="http://purl.org/dc/terms/" xmlns:xsi="http://www.w3.org/2001/XMLSchema-instance" xsi:type="dcterms:W3CDTF">2026-10-13T09:28:11Z</dcterms:modified>
</cp:coreProperties>
</file>